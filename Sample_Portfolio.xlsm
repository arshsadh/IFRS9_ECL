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sh Sadh\Desktop\Models\Project_4_IFRS9\"/>
    </mc:Choice>
  </mc:AlternateContent>
  <xr:revisionPtr revIDLastSave="0" documentId="13_ncr:1_{02E33BDD-5465-4658-9903-0307FF595ECC}" xr6:coauthVersionLast="47" xr6:coauthVersionMax="47" xr10:uidLastSave="{00000000-0000-0000-0000-000000000000}"/>
  <bookViews>
    <workbookView xWindow="-108" yWindow="-108" windowWidth="23256" windowHeight="12456" tabRatio="845" activeTab="1" xr2:uid="{D1584F82-ACC1-47DA-BE95-DB31CAA71B7A}"/>
  </bookViews>
  <sheets>
    <sheet name="Portfolio" sheetId="1" r:id="rId1"/>
    <sheet name="Macroeconomic variable" sheetId="6" r:id="rId2"/>
    <sheet name="FEDFUNDS" sheetId="7" r:id="rId3"/>
  </sheets>
  <definedNames>
    <definedName name="_xlnm._FilterDatabase" localSheetId="0" hidden="1">Portfolio!$A$1:$P$1501</definedName>
    <definedName name="_xleta.COUNTA" hidden="1" xlm="1">#NAME?</definedName>
    <definedName name="_xleta.DATEDIF" hidden="1" xlm="1">#NAME?</definedName>
    <definedName name="_xleta.LOGNORM.INV" hidden="1" xlm="1">#NAME?</definedName>
    <definedName name="_xleta.NORM.S.INV" hidden="1" xlm="1">#NAME?</definedName>
    <definedName name="_xleta.SUM" hidden="1" xlm="1">#NAME?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'Macroeconomic variable'!$G$4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2" i="1"/>
</calcChain>
</file>

<file path=xl/sharedStrings.xml><?xml version="1.0" encoding="utf-8"?>
<sst xmlns="http://schemas.openxmlformats.org/spreadsheetml/2006/main" count="12076" uniqueCount="1614">
  <si>
    <t>Customer_ID</t>
  </si>
  <si>
    <t>Segment</t>
  </si>
  <si>
    <t>Sector</t>
  </si>
  <si>
    <t>Outstanding_Balance</t>
  </si>
  <si>
    <t>Type_of_Loan</t>
  </si>
  <si>
    <t>Loan_Duration_Flag</t>
  </si>
  <si>
    <t>Sanction_Date</t>
  </si>
  <si>
    <t>Origination_Rating</t>
  </si>
  <si>
    <t>Secured_Unsecured_Flag</t>
  </si>
  <si>
    <t>Collateral_Type</t>
  </si>
  <si>
    <t>Collateral_Value</t>
  </si>
  <si>
    <t>CUST000001QA</t>
  </si>
  <si>
    <t>Commercial</t>
  </si>
  <si>
    <t>Logistics</t>
  </si>
  <si>
    <t>Amortising</t>
  </si>
  <si>
    <t>Long Term</t>
  </si>
  <si>
    <t>B</t>
  </si>
  <si>
    <t>Secured</t>
  </si>
  <si>
    <t>Inventory</t>
  </si>
  <si>
    <t>CUST000002HF</t>
  </si>
  <si>
    <t>SME</t>
  </si>
  <si>
    <t>F&amp;B</t>
  </si>
  <si>
    <t>BBB</t>
  </si>
  <si>
    <t>CUST000003TR</t>
  </si>
  <si>
    <t>Retail</t>
  </si>
  <si>
    <t>Mortgage</t>
  </si>
  <si>
    <t>Real Estate</t>
  </si>
  <si>
    <t>CUST000004XC</t>
  </si>
  <si>
    <t>Personal Loan</t>
  </si>
  <si>
    <t>Unsecured</t>
  </si>
  <si>
    <t>None</t>
  </si>
  <si>
    <t>CUST000005KA</t>
  </si>
  <si>
    <t>Credit Card</t>
  </si>
  <si>
    <t>Revolving</t>
  </si>
  <si>
    <t>CUST000006FN</t>
  </si>
  <si>
    <t>A</t>
  </si>
  <si>
    <t>CUST000007AF</t>
  </si>
  <si>
    <t>Corporate</t>
  </si>
  <si>
    <t>Healthcare</t>
  </si>
  <si>
    <t>BB</t>
  </si>
  <si>
    <t>CUST000008QO</t>
  </si>
  <si>
    <t>Auto</t>
  </si>
  <si>
    <t>Equipment</t>
  </si>
  <si>
    <t>CUST000009FP</t>
  </si>
  <si>
    <t>CUST000010VA</t>
  </si>
  <si>
    <t>CUST000011US</t>
  </si>
  <si>
    <t>CUST000012IE</t>
  </si>
  <si>
    <t>Construction</t>
  </si>
  <si>
    <t>Bullet</t>
  </si>
  <si>
    <t>CUST000013YI</t>
  </si>
  <si>
    <t>CUST000014CC</t>
  </si>
  <si>
    <t>Local Services</t>
  </si>
  <si>
    <t>CUST000015WP</t>
  </si>
  <si>
    <t>CUST000016US</t>
  </si>
  <si>
    <t>Cash</t>
  </si>
  <si>
    <t>CUST000017NZ</t>
  </si>
  <si>
    <t>AA</t>
  </si>
  <si>
    <t>CUST000018JO</t>
  </si>
  <si>
    <t>CUST000019VQ</t>
  </si>
  <si>
    <t>CUST000020WP</t>
  </si>
  <si>
    <t>CUST000021SB</t>
  </si>
  <si>
    <t>Wholesale</t>
  </si>
  <si>
    <t>CUST000022FH</t>
  </si>
  <si>
    <t>Retail Trade</t>
  </si>
  <si>
    <t>CUST000023CG</t>
  </si>
  <si>
    <t>CUST000024CH</t>
  </si>
  <si>
    <t>CUST000025QJ</t>
  </si>
  <si>
    <t>CUST000026JF</t>
  </si>
  <si>
    <t>CUST000027GY</t>
  </si>
  <si>
    <t>CUST000028QP</t>
  </si>
  <si>
    <t>Short Term</t>
  </si>
  <si>
    <t>CUST000029ES</t>
  </si>
  <si>
    <t>CUST000030EJ</t>
  </si>
  <si>
    <t>CUST000031ZQ</t>
  </si>
  <si>
    <t>Tech</t>
  </si>
  <si>
    <t>CUST000032OR</t>
  </si>
  <si>
    <t>CUST000033VU</t>
  </si>
  <si>
    <t>CUST000034FA</t>
  </si>
  <si>
    <t>Manufacturing</t>
  </si>
  <si>
    <t>CUST000035IG</t>
  </si>
  <si>
    <t>CUST000036FY</t>
  </si>
  <si>
    <t>AAA</t>
  </si>
  <si>
    <t>CUST000037WI</t>
  </si>
  <si>
    <t>CUST000038RK</t>
  </si>
  <si>
    <t>CUST000039XL</t>
  </si>
  <si>
    <t>CUST000040GG</t>
  </si>
  <si>
    <t>CUST000041OG</t>
  </si>
  <si>
    <t>CUST000042PX</t>
  </si>
  <si>
    <t>CUST000043KF</t>
  </si>
  <si>
    <t>Light Manufacturing</t>
  </si>
  <si>
    <t>CUST000044ZN</t>
  </si>
  <si>
    <t>CUST000045CB</t>
  </si>
  <si>
    <t>Finance</t>
  </si>
  <si>
    <t>CUST000046CQ</t>
  </si>
  <si>
    <t>CUST000047UK</t>
  </si>
  <si>
    <t>CUST000048BJ</t>
  </si>
  <si>
    <t>CUST000049ZN</t>
  </si>
  <si>
    <t>CUST000050ZW</t>
  </si>
  <si>
    <t>CUST000051AS</t>
  </si>
  <si>
    <t>CUST000052RN</t>
  </si>
  <si>
    <t>CUST000053GQ</t>
  </si>
  <si>
    <t>CCC</t>
  </si>
  <si>
    <t>CUST000054CL</t>
  </si>
  <si>
    <t>CUST000055LY</t>
  </si>
  <si>
    <t>CUST000056WG</t>
  </si>
  <si>
    <t>CUST000057NE</t>
  </si>
  <si>
    <t>CUST000058XW</t>
  </si>
  <si>
    <t>CUST000059HQ</t>
  </si>
  <si>
    <t>CUST000060PD</t>
  </si>
  <si>
    <t>CUST000061TO</t>
  </si>
  <si>
    <t>CUST000062UN</t>
  </si>
  <si>
    <t>CUST000063AI</t>
  </si>
  <si>
    <t>CUST000064AY</t>
  </si>
  <si>
    <t>CUST000065WV</t>
  </si>
  <si>
    <t>CUST000066HB</t>
  </si>
  <si>
    <t>CUST000067WY</t>
  </si>
  <si>
    <t>CUST000068CM</t>
  </si>
  <si>
    <t>CUST000069BT</t>
  </si>
  <si>
    <t>CUST000070TD</t>
  </si>
  <si>
    <t>CUST000071MO</t>
  </si>
  <si>
    <t>CUST000072GW</t>
  </si>
  <si>
    <t>CUST000073LF</t>
  </si>
  <si>
    <t>CUST000074OS</t>
  </si>
  <si>
    <t>CUST000075FI</t>
  </si>
  <si>
    <t>CUST000076ZQ</t>
  </si>
  <si>
    <t>CUST000077LN</t>
  </si>
  <si>
    <t>CUST000078DF</t>
  </si>
  <si>
    <t>CUST000079IP</t>
  </si>
  <si>
    <t>CUST000080FF</t>
  </si>
  <si>
    <t>CUST000081BQ</t>
  </si>
  <si>
    <t>CUST000082FX</t>
  </si>
  <si>
    <t>CUST000083WB</t>
  </si>
  <si>
    <t>CUST000084GR</t>
  </si>
  <si>
    <t>CUST000085FD</t>
  </si>
  <si>
    <t>CUST000086YO</t>
  </si>
  <si>
    <t>CUST000087MU</t>
  </si>
  <si>
    <t>CUST000088UE</t>
  </si>
  <si>
    <t>CUST000089CL</t>
  </si>
  <si>
    <t>CUST000090LM</t>
  </si>
  <si>
    <t>CUST000091SR</t>
  </si>
  <si>
    <t>CUST000092ZC</t>
  </si>
  <si>
    <t>CUST000093KI</t>
  </si>
  <si>
    <t>CUST000094WG</t>
  </si>
  <si>
    <t>CUST000095EL</t>
  </si>
  <si>
    <t>Energy</t>
  </si>
  <si>
    <t>CUST000096KH</t>
  </si>
  <si>
    <t>CUST000097GY</t>
  </si>
  <si>
    <t>CUST000098LW</t>
  </si>
  <si>
    <t>CUST000099OB</t>
  </si>
  <si>
    <t>CUST000100ZV</t>
  </si>
  <si>
    <t>CUST000101ZY</t>
  </si>
  <si>
    <t>CUST000102WE</t>
  </si>
  <si>
    <t>CUST000103MF</t>
  </si>
  <si>
    <t>CUST000104KB</t>
  </si>
  <si>
    <t>CUST000105JZ</t>
  </si>
  <si>
    <t>CUST000106GU</t>
  </si>
  <si>
    <t>CUST000107LK</t>
  </si>
  <si>
    <t>CUST000108YZ</t>
  </si>
  <si>
    <t>CUST000109OS</t>
  </si>
  <si>
    <t>CUST000110EH</t>
  </si>
  <si>
    <t>CUST000111ZP</t>
  </si>
  <si>
    <t>CUST000112OT</t>
  </si>
  <si>
    <t>CUST000113BP</t>
  </si>
  <si>
    <t>CUST000114NW</t>
  </si>
  <si>
    <t>CUST000115EY</t>
  </si>
  <si>
    <t>CUST000116CE</t>
  </si>
  <si>
    <t>CUST000117PR</t>
  </si>
  <si>
    <t>CUST000118GD</t>
  </si>
  <si>
    <t>CUST000119XG</t>
  </si>
  <si>
    <t>CUST000120PQ</t>
  </si>
  <si>
    <t>CUST000121KP</t>
  </si>
  <si>
    <t>CUST000122NY</t>
  </si>
  <si>
    <t>CUST000123FS</t>
  </si>
  <si>
    <t>CUST000124GK</t>
  </si>
  <si>
    <t>CUST000125RH</t>
  </si>
  <si>
    <t>CUST000126IT</t>
  </si>
  <si>
    <t>CUST000127BL</t>
  </si>
  <si>
    <t>CUST000128ZZ</t>
  </si>
  <si>
    <t>CUST000129BF</t>
  </si>
  <si>
    <t>CUST000130GY</t>
  </si>
  <si>
    <t>CUST000131WW</t>
  </si>
  <si>
    <t>CUST000132JE</t>
  </si>
  <si>
    <t>CUST000133VS</t>
  </si>
  <si>
    <t>CUST000134PZ</t>
  </si>
  <si>
    <t>CUST000135RA</t>
  </si>
  <si>
    <t>CUST000136VH</t>
  </si>
  <si>
    <t>CUST000137RY</t>
  </si>
  <si>
    <t>CUST000138DD</t>
  </si>
  <si>
    <t>CUST000139CO</t>
  </si>
  <si>
    <t>CUST000140HP</t>
  </si>
  <si>
    <t>CUST000141SF</t>
  </si>
  <si>
    <t>CUST000142QG</t>
  </si>
  <si>
    <t>CUST000143MX</t>
  </si>
  <si>
    <t>CUST000144VC</t>
  </si>
  <si>
    <t>CUST000145LH</t>
  </si>
  <si>
    <t>CUST000146AU</t>
  </si>
  <si>
    <t>CUST000147QG</t>
  </si>
  <si>
    <t>CUST000148TO</t>
  </si>
  <si>
    <t>CUST000149LA</t>
  </si>
  <si>
    <t>CUST000150BW</t>
  </si>
  <si>
    <t>CUST000151XO</t>
  </si>
  <si>
    <t>CUST000152VP</t>
  </si>
  <si>
    <t>CUST000153DD</t>
  </si>
  <si>
    <t>CUST000154IX</t>
  </si>
  <si>
    <t>CUST000155UW</t>
  </si>
  <si>
    <t>CUST000156XF</t>
  </si>
  <si>
    <t>CUST000157GC</t>
  </si>
  <si>
    <t>CUST000158UW</t>
  </si>
  <si>
    <t>CUST000159KQ</t>
  </si>
  <si>
    <t>CUST000160EY</t>
  </si>
  <si>
    <t>CUST000161WZ</t>
  </si>
  <si>
    <t>CUST000162VW</t>
  </si>
  <si>
    <t>CUST000163AT</t>
  </si>
  <si>
    <t>CUST000164IY</t>
  </si>
  <si>
    <t>CUST000165UW</t>
  </si>
  <si>
    <t>CUST000166VG</t>
  </si>
  <si>
    <t>CUST000167UC</t>
  </si>
  <si>
    <t>CUST000168WW</t>
  </si>
  <si>
    <t>CUST000169FV</t>
  </si>
  <si>
    <t>CUST000170LH</t>
  </si>
  <si>
    <t>CUST000171UF</t>
  </si>
  <si>
    <t>CUST000172AF</t>
  </si>
  <si>
    <t>CUST000173IW</t>
  </si>
  <si>
    <t>CUST000174ZH</t>
  </si>
  <si>
    <t>CUST000175QK</t>
  </si>
  <si>
    <t>CUST000176ZN</t>
  </si>
  <si>
    <t>CUST000177YC</t>
  </si>
  <si>
    <t>CUST000178ZE</t>
  </si>
  <si>
    <t>CUST000179ZG</t>
  </si>
  <si>
    <t>CUST000180CL</t>
  </si>
  <si>
    <t>CUST000181SI</t>
  </si>
  <si>
    <t>CUST000182PN</t>
  </si>
  <si>
    <t>CUST000183KO</t>
  </si>
  <si>
    <t>CUST000184GS</t>
  </si>
  <si>
    <t>CUST000185AY</t>
  </si>
  <si>
    <t>CUST000186NS</t>
  </si>
  <si>
    <t>CUST000187TR</t>
  </si>
  <si>
    <t>CUST000188JB</t>
  </si>
  <si>
    <t>CUST000189RI</t>
  </si>
  <si>
    <t>CUST000190IW</t>
  </si>
  <si>
    <t>CUST000191SH</t>
  </si>
  <si>
    <t>CUST000192IK</t>
  </si>
  <si>
    <t>CUST000193KH</t>
  </si>
  <si>
    <t>CUST000194DK</t>
  </si>
  <si>
    <t>CUST000195YR</t>
  </si>
  <si>
    <t>CUST000196XQ</t>
  </si>
  <si>
    <t>CUST000197HO</t>
  </si>
  <si>
    <t>CUST000198AH</t>
  </si>
  <si>
    <t>CUST000199LP</t>
  </si>
  <si>
    <t>CUST000200RM</t>
  </si>
  <si>
    <t>CUST000201LF</t>
  </si>
  <si>
    <t>CUST000202MX</t>
  </si>
  <si>
    <t>CUST000203UE</t>
  </si>
  <si>
    <t>CUST000204CN</t>
  </si>
  <si>
    <t>CUST000205QI</t>
  </si>
  <si>
    <t>CUST000206VT</t>
  </si>
  <si>
    <t>CUST000207RF</t>
  </si>
  <si>
    <t>CUST000208FA</t>
  </si>
  <si>
    <t>CUST000209GM</t>
  </si>
  <si>
    <t>CUST000210WB</t>
  </si>
  <si>
    <t>CUST000211KQ</t>
  </si>
  <si>
    <t>CUST000212FS</t>
  </si>
  <si>
    <t>CUST000213MG</t>
  </si>
  <si>
    <t>CUST000214RA</t>
  </si>
  <si>
    <t>CUST000215TU</t>
  </si>
  <si>
    <t>CUST000216CL</t>
  </si>
  <si>
    <t>CUST000217EY</t>
  </si>
  <si>
    <t>CUST000218NB</t>
  </si>
  <si>
    <t>CUST000219GW</t>
  </si>
  <si>
    <t>CUST000220LU</t>
  </si>
  <si>
    <t>CUST000221RZ</t>
  </si>
  <si>
    <t>CUST000222PY</t>
  </si>
  <si>
    <t>CUST000223XP</t>
  </si>
  <si>
    <t>CUST000224SN</t>
  </si>
  <si>
    <t>CUST000225VO</t>
  </si>
  <si>
    <t>CUST000226XT</t>
  </si>
  <si>
    <t>CUST000227MG</t>
  </si>
  <si>
    <t>CUST000228GQ</t>
  </si>
  <si>
    <t>CUST000229TN</t>
  </si>
  <si>
    <t>CUST000230QH</t>
  </si>
  <si>
    <t>CUST000231CH</t>
  </si>
  <si>
    <t>CUST000232HI</t>
  </si>
  <si>
    <t>CUST000233OD</t>
  </si>
  <si>
    <t>CUST000234GS</t>
  </si>
  <si>
    <t>CUST000235SB</t>
  </si>
  <si>
    <t>CUST000236KO</t>
  </si>
  <si>
    <t>CUST000237KF</t>
  </si>
  <si>
    <t>CUST000238KX</t>
  </si>
  <si>
    <t>CUST000239PS</t>
  </si>
  <si>
    <t>CUST000240WT</t>
  </si>
  <si>
    <t>CUST000241JA</t>
  </si>
  <si>
    <t>CUST000242JT</t>
  </si>
  <si>
    <t>CUST000243WY</t>
  </si>
  <si>
    <t>CUST000244KT</t>
  </si>
  <si>
    <t>CUST000245OP</t>
  </si>
  <si>
    <t>CUST000246FF</t>
  </si>
  <si>
    <t>CUST000247LA</t>
  </si>
  <si>
    <t>CUST000248IR</t>
  </si>
  <si>
    <t>CUST000249KE</t>
  </si>
  <si>
    <t>CUST000250MD</t>
  </si>
  <si>
    <t>CUST000251QA</t>
  </si>
  <si>
    <t>CUST000252KO</t>
  </si>
  <si>
    <t>CUST000253AQ</t>
  </si>
  <si>
    <t>CUST000254DM</t>
  </si>
  <si>
    <t>CUST000255BJ</t>
  </si>
  <si>
    <t>CUST000256FI</t>
  </si>
  <si>
    <t>CUST000257TJ</t>
  </si>
  <si>
    <t>CUST000258TV</t>
  </si>
  <si>
    <t>CUST000259GC</t>
  </si>
  <si>
    <t>CUST000260AO</t>
  </si>
  <si>
    <t>CUST000261ZJ</t>
  </si>
  <si>
    <t>CUST000262QU</t>
  </si>
  <si>
    <t>CUST000263QT</t>
  </si>
  <si>
    <t>CUST000264YF</t>
  </si>
  <si>
    <t>CUST000265AD</t>
  </si>
  <si>
    <t>CUST000266DR</t>
  </si>
  <si>
    <t>CUST000267OF</t>
  </si>
  <si>
    <t>CUST000268ST</t>
  </si>
  <si>
    <t>CUST000269EP</t>
  </si>
  <si>
    <t>CUST000270TC</t>
  </si>
  <si>
    <t>CUST000271VZ</t>
  </si>
  <si>
    <t>CUST000272CA</t>
  </si>
  <si>
    <t>CUST000273IR</t>
  </si>
  <si>
    <t>CUST000274YK</t>
  </si>
  <si>
    <t>CUST000275SB</t>
  </si>
  <si>
    <t>CUST000276RQ</t>
  </si>
  <si>
    <t>CUST000277CU</t>
  </si>
  <si>
    <t>CUST000278WP</t>
  </si>
  <si>
    <t>CUST000279DZ</t>
  </si>
  <si>
    <t>CUST000280UJ</t>
  </si>
  <si>
    <t>CUST000281LJ</t>
  </si>
  <si>
    <t>CUST000282NI</t>
  </si>
  <si>
    <t>CUST000283WV</t>
  </si>
  <si>
    <t>CUST000284CY</t>
  </si>
  <si>
    <t>CUST000285QV</t>
  </si>
  <si>
    <t>CUST000286SL</t>
  </si>
  <si>
    <t>CUST000287TZ</t>
  </si>
  <si>
    <t>CUST000288HV</t>
  </si>
  <si>
    <t>CUST000289NM</t>
  </si>
  <si>
    <t>CUST000290LT</t>
  </si>
  <si>
    <t>CUST000291GW</t>
  </si>
  <si>
    <t>CUST000292VC</t>
  </si>
  <si>
    <t>CUST000293WG</t>
  </si>
  <si>
    <t>CUST000294MP</t>
  </si>
  <si>
    <t>CUST000295JA</t>
  </si>
  <si>
    <t>CUST000296WE</t>
  </si>
  <si>
    <t>CUST000297FU</t>
  </si>
  <si>
    <t>CUST000298IW</t>
  </si>
  <si>
    <t>CUST000299SH</t>
  </si>
  <si>
    <t>CUST000300AY</t>
  </si>
  <si>
    <t>CUST000301CS</t>
  </si>
  <si>
    <t>CUST000302MT</t>
  </si>
  <si>
    <t>CUST000303RQ</t>
  </si>
  <si>
    <t>CUST000304MU</t>
  </si>
  <si>
    <t>CUST000305CF</t>
  </si>
  <si>
    <t>CUST000306RH</t>
  </si>
  <si>
    <t>CUST000307PM</t>
  </si>
  <si>
    <t>CUST000308NL</t>
  </si>
  <si>
    <t>CUST000309TI</t>
  </si>
  <si>
    <t>CUST000310SH</t>
  </si>
  <si>
    <t>CUST000311GD</t>
  </si>
  <si>
    <t>CUST000312FD</t>
  </si>
  <si>
    <t>CUST000313NT</t>
  </si>
  <si>
    <t>CUST000314EF</t>
  </si>
  <si>
    <t>CUST000315MS</t>
  </si>
  <si>
    <t>CUST000316ZN</t>
  </si>
  <si>
    <t>CUST000317HC</t>
  </si>
  <si>
    <t>CUST000318FF</t>
  </si>
  <si>
    <t>CUST000319EA</t>
  </si>
  <si>
    <t>CUST000320NH</t>
  </si>
  <si>
    <t>CUST000321ZO</t>
  </si>
  <si>
    <t>CUST000322SD</t>
  </si>
  <si>
    <t>CUST000323WM</t>
  </si>
  <si>
    <t>CUST000324WO</t>
  </si>
  <si>
    <t>CUST000325ML</t>
  </si>
  <si>
    <t>CUST000326EB</t>
  </si>
  <si>
    <t>CUST000327YM</t>
  </si>
  <si>
    <t>CUST000328VK</t>
  </si>
  <si>
    <t>CUST000329BQ</t>
  </si>
  <si>
    <t>CUST000330BD</t>
  </si>
  <si>
    <t>CUST000331OH</t>
  </si>
  <si>
    <t>CUST000332ZD</t>
  </si>
  <si>
    <t>CUST000333TP</t>
  </si>
  <si>
    <t>CUST000334UF</t>
  </si>
  <si>
    <t>CUST000335NL</t>
  </si>
  <si>
    <t>CUST000336LW</t>
  </si>
  <si>
    <t>CUST000337ZH</t>
  </si>
  <si>
    <t>CUST000338QP</t>
  </si>
  <si>
    <t>CUST000339TY</t>
  </si>
  <si>
    <t>CUST000340FF</t>
  </si>
  <si>
    <t>CUST000341RE</t>
  </si>
  <si>
    <t>CUST000342EB</t>
  </si>
  <si>
    <t>CUST000343AL</t>
  </si>
  <si>
    <t>CUST000344PH</t>
  </si>
  <si>
    <t>CUST000345GS</t>
  </si>
  <si>
    <t>CUST000346SL</t>
  </si>
  <si>
    <t>CUST000347RY</t>
  </si>
  <si>
    <t>CUST000348UQ</t>
  </si>
  <si>
    <t>CUST000349RY</t>
  </si>
  <si>
    <t>CUST000350LO</t>
  </si>
  <si>
    <t>CUST000351QX</t>
  </si>
  <si>
    <t>CUST000352VB</t>
  </si>
  <si>
    <t>CUST000353EH</t>
  </si>
  <si>
    <t>CUST000354TO</t>
  </si>
  <si>
    <t>CUST000355HD</t>
  </si>
  <si>
    <t>CUST000356RS</t>
  </si>
  <si>
    <t>CUST000357YN</t>
  </si>
  <si>
    <t>CUST000358MC</t>
  </si>
  <si>
    <t>CUST000359BL</t>
  </si>
  <si>
    <t>CUST000360IG</t>
  </si>
  <si>
    <t>CUST000361CZ</t>
  </si>
  <si>
    <t>CUST000362VO</t>
  </si>
  <si>
    <t>CUST000363YZ</t>
  </si>
  <si>
    <t>CUST000364RH</t>
  </si>
  <si>
    <t>CUST000365BT</t>
  </si>
  <si>
    <t>CUST000366MQ</t>
  </si>
  <si>
    <t>CUST000367XE</t>
  </si>
  <si>
    <t>CUST000368PQ</t>
  </si>
  <si>
    <t>CUST000369MC</t>
  </si>
  <si>
    <t>CUST000370JI</t>
  </si>
  <si>
    <t>CUST000371RW</t>
  </si>
  <si>
    <t>CUST000372IS</t>
  </si>
  <si>
    <t>CUST000373HY</t>
  </si>
  <si>
    <t>CUST000374VO</t>
  </si>
  <si>
    <t>CUST000375LI</t>
  </si>
  <si>
    <t>CUST000376IZ</t>
  </si>
  <si>
    <t>CUST000377KN</t>
  </si>
  <si>
    <t>CUST000378ZR</t>
  </si>
  <si>
    <t>CUST000379OK</t>
  </si>
  <si>
    <t>CUST000380EJ</t>
  </si>
  <si>
    <t>CUST000381TQ</t>
  </si>
  <si>
    <t>CUST000382TF</t>
  </si>
  <si>
    <t>CUST000383OY</t>
  </si>
  <si>
    <t>CUST000384LS</t>
  </si>
  <si>
    <t>CUST000385DZ</t>
  </si>
  <si>
    <t>CUST000386PG</t>
  </si>
  <si>
    <t>CUST000387EO</t>
  </si>
  <si>
    <t>CUST000388OC</t>
  </si>
  <si>
    <t>CUST000389ZX</t>
  </si>
  <si>
    <t>CUST000390LD</t>
  </si>
  <si>
    <t>CUST000391VM</t>
  </si>
  <si>
    <t>CUST000392SN</t>
  </si>
  <si>
    <t>CUST000393HV</t>
  </si>
  <si>
    <t>CUST000394ZG</t>
  </si>
  <si>
    <t>CUST000395OJ</t>
  </si>
  <si>
    <t>CUST000396XN</t>
  </si>
  <si>
    <t>CUST000397WW</t>
  </si>
  <si>
    <t>CUST000398HU</t>
  </si>
  <si>
    <t>CUST000399KY</t>
  </si>
  <si>
    <t>CUST000400NV</t>
  </si>
  <si>
    <t>CUST000401HH</t>
  </si>
  <si>
    <t>CUST000402PZ</t>
  </si>
  <si>
    <t>CUST000403MD</t>
  </si>
  <si>
    <t>CUST000404OI</t>
  </si>
  <si>
    <t>CUST000405OO</t>
  </si>
  <si>
    <t>CUST000406LI</t>
  </si>
  <si>
    <t>CUST000407ES</t>
  </si>
  <si>
    <t>CUST000408OG</t>
  </si>
  <si>
    <t>CUST000409UB</t>
  </si>
  <si>
    <t>CUST000410TS</t>
  </si>
  <si>
    <t>CUST000411VK</t>
  </si>
  <si>
    <t>CUST000412RV</t>
  </si>
  <si>
    <t>CUST000413ZM</t>
  </si>
  <si>
    <t>CUST000414AN</t>
  </si>
  <si>
    <t>CUST000415PW</t>
  </si>
  <si>
    <t>CUST000416WL</t>
  </si>
  <si>
    <t>CUST000417NL</t>
  </si>
  <si>
    <t>CUST000418SK</t>
  </si>
  <si>
    <t>CUST000419RE</t>
  </si>
  <si>
    <t>CUST000420MZ</t>
  </si>
  <si>
    <t>CUST000421IS</t>
  </si>
  <si>
    <t>CUST000422QW</t>
  </si>
  <si>
    <t>CUST000423WW</t>
  </si>
  <si>
    <t>CUST000424JI</t>
  </si>
  <si>
    <t>CUST000425ST</t>
  </si>
  <si>
    <t>CUST000426WA</t>
  </si>
  <si>
    <t>CUST000427BQ</t>
  </si>
  <si>
    <t>CUST000428XZ</t>
  </si>
  <si>
    <t>CUST000429TL</t>
  </si>
  <si>
    <t>CUST000430CQ</t>
  </si>
  <si>
    <t>CUST000431WL</t>
  </si>
  <si>
    <t>CUST000432SX</t>
  </si>
  <si>
    <t>CUST000433BU</t>
  </si>
  <si>
    <t>CUST000434HJ</t>
  </si>
  <si>
    <t>CUST000435DN</t>
  </si>
  <si>
    <t>CUST000436OU</t>
  </si>
  <si>
    <t>CUST000437EC</t>
  </si>
  <si>
    <t>CUST000438WQ</t>
  </si>
  <si>
    <t>CUST000439GX</t>
  </si>
  <si>
    <t>CUST000440DL</t>
  </si>
  <si>
    <t>CUST000441GG</t>
  </si>
  <si>
    <t>CUST000442AU</t>
  </si>
  <si>
    <t>CUST000443XR</t>
  </si>
  <si>
    <t>CUST000444EL</t>
  </si>
  <si>
    <t>CUST000445IP</t>
  </si>
  <si>
    <t>CUST000446QL</t>
  </si>
  <si>
    <t>CUST000447GV</t>
  </si>
  <si>
    <t>CUST000448FK</t>
  </si>
  <si>
    <t>CUST000449MG</t>
  </si>
  <si>
    <t>CUST000450OO</t>
  </si>
  <si>
    <t>CUST000451ZH</t>
  </si>
  <si>
    <t>CUST000452ZR</t>
  </si>
  <si>
    <t>CUST000453HO</t>
  </si>
  <si>
    <t>CUST000454RT</t>
  </si>
  <si>
    <t>CUST000455BP</t>
  </si>
  <si>
    <t>CUST000456MX</t>
  </si>
  <si>
    <t>CUST000457HU</t>
  </si>
  <si>
    <t>CUST000458PJ</t>
  </si>
  <si>
    <t>CUST000459QQ</t>
  </si>
  <si>
    <t>CUST000460RS</t>
  </si>
  <si>
    <t>CUST000461RV</t>
  </si>
  <si>
    <t>CUST000462QX</t>
  </si>
  <si>
    <t>CUST000463QI</t>
  </si>
  <si>
    <t>CUST000464LP</t>
  </si>
  <si>
    <t>CUST000465TC</t>
  </si>
  <si>
    <t>CUST000466HT</t>
  </si>
  <si>
    <t>CUST000467ED</t>
  </si>
  <si>
    <t>CUST000468OZ</t>
  </si>
  <si>
    <t>CUST000469NX</t>
  </si>
  <si>
    <t>CUST000470VG</t>
  </si>
  <si>
    <t>CUST000471VM</t>
  </si>
  <si>
    <t>CUST000472UT</t>
  </si>
  <si>
    <t>CUST000473IC</t>
  </si>
  <si>
    <t>CUST000474ZD</t>
  </si>
  <si>
    <t>CUST000475ZW</t>
  </si>
  <si>
    <t>CUST000476SZ</t>
  </si>
  <si>
    <t>CUST000477ZU</t>
  </si>
  <si>
    <t>CUST000478JU</t>
  </si>
  <si>
    <t>CUST000479AN</t>
  </si>
  <si>
    <t>CUST000480LR</t>
  </si>
  <si>
    <t>CUST000481RP</t>
  </si>
  <si>
    <t>CUST000482VY</t>
  </si>
  <si>
    <t>CUST000483CG</t>
  </si>
  <si>
    <t>CUST000484AW</t>
  </si>
  <si>
    <t>CUST000485OX</t>
  </si>
  <si>
    <t>CUST000486FB</t>
  </si>
  <si>
    <t>CUST000487VX</t>
  </si>
  <si>
    <t>CUST000488HK</t>
  </si>
  <si>
    <t>CUST000489DY</t>
  </si>
  <si>
    <t>CUST000490HM</t>
  </si>
  <si>
    <t>CUST000491CX</t>
  </si>
  <si>
    <t>CUST000492DL</t>
  </si>
  <si>
    <t>CUST000493RT</t>
  </si>
  <si>
    <t>CUST000494YK</t>
  </si>
  <si>
    <t>CUST000495TE</t>
  </si>
  <si>
    <t>CUST000496KC</t>
  </si>
  <si>
    <t>CUST000497MK</t>
  </si>
  <si>
    <t>CUST000498YA</t>
  </si>
  <si>
    <t>CUST000499JL</t>
  </si>
  <si>
    <t>CUST000500YW</t>
  </si>
  <si>
    <t>CUST000501CR</t>
  </si>
  <si>
    <t>CUST000502OZ</t>
  </si>
  <si>
    <t>CUST000503JK</t>
  </si>
  <si>
    <t>CUST000504ED</t>
  </si>
  <si>
    <t>CUST000505WL</t>
  </si>
  <si>
    <t>CUST000506RQ</t>
  </si>
  <si>
    <t>CUST000507PA</t>
  </si>
  <si>
    <t>CUST000508UG</t>
  </si>
  <si>
    <t>CUST000509DO</t>
  </si>
  <si>
    <t>CUST000510BT</t>
  </si>
  <si>
    <t>CUST000511FF</t>
  </si>
  <si>
    <t>CUST000512WI</t>
  </si>
  <si>
    <t>CUST000513DX</t>
  </si>
  <si>
    <t>CUST000514AW</t>
  </si>
  <si>
    <t>CUST000515DD</t>
  </si>
  <si>
    <t>CUST000516GE</t>
  </si>
  <si>
    <t>CUST000517RA</t>
  </si>
  <si>
    <t>CUST000518AU</t>
  </si>
  <si>
    <t>CUST000519GI</t>
  </si>
  <si>
    <t>CUST000520EB</t>
  </si>
  <si>
    <t>CUST000521TN</t>
  </si>
  <si>
    <t>CUST000522TM</t>
  </si>
  <si>
    <t>CUST000523UN</t>
  </si>
  <si>
    <t>CUST000524CN</t>
  </si>
  <si>
    <t>CUST000525YB</t>
  </si>
  <si>
    <t>CUST000526UW</t>
  </si>
  <si>
    <t>CUST000527NL</t>
  </si>
  <si>
    <t>CUST000528ZB</t>
  </si>
  <si>
    <t>CUST000529MK</t>
  </si>
  <si>
    <t>CUST000530RM</t>
  </si>
  <si>
    <t>CUST000531XB</t>
  </si>
  <si>
    <t>CUST000532CP</t>
  </si>
  <si>
    <t>CUST000533BH</t>
  </si>
  <si>
    <t>CUST000534QO</t>
  </si>
  <si>
    <t>CUST000535IZ</t>
  </si>
  <si>
    <t>CUST000536NL</t>
  </si>
  <si>
    <t>CUST000537PC</t>
  </si>
  <si>
    <t>CUST000538SW</t>
  </si>
  <si>
    <t>CUST000539QT</t>
  </si>
  <si>
    <t>CUST000540SF</t>
  </si>
  <si>
    <t>CUST000541LF</t>
  </si>
  <si>
    <t>CUST000542IL</t>
  </si>
  <si>
    <t>CUST000543KC</t>
  </si>
  <si>
    <t>CUST000544LR</t>
  </si>
  <si>
    <t>CUST000545JD</t>
  </si>
  <si>
    <t>CUST000546XB</t>
  </si>
  <si>
    <t>CUST000547VC</t>
  </si>
  <si>
    <t>CUST000548CT</t>
  </si>
  <si>
    <t>CUST000549VO</t>
  </si>
  <si>
    <t>CUST000550PO</t>
  </si>
  <si>
    <t>CUST000551ID</t>
  </si>
  <si>
    <t>CUST000552JR</t>
  </si>
  <si>
    <t>CUST000553TW</t>
  </si>
  <si>
    <t>CUST000554SZ</t>
  </si>
  <si>
    <t>CUST000555PJ</t>
  </si>
  <si>
    <t>CUST000556PF</t>
  </si>
  <si>
    <t>CUST000557RF</t>
  </si>
  <si>
    <t>CUST000558CV</t>
  </si>
  <si>
    <t>CUST000559JT</t>
  </si>
  <si>
    <t>CUST000560OU</t>
  </si>
  <si>
    <t>CUST000561VZ</t>
  </si>
  <si>
    <t>CUST000562VP</t>
  </si>
  <si>
    <t>CUST000563QA</t>
  </si>
  <si>
    <t>CUST000564YV</t>
  </si>
  <si>
    <t>CUST000565GE</t>
  </si>
  <si>
    <t>CUST000566SI</t>
  </si>
  <si>
    <t>CUST000567IA</t>
  </si>
  <si>
    <t>CUST000568WO</t>
  </si>
  <si>
    <t>CUST000569KD</t>
  </si>
  <si>
    <t>CUST000570QA</t>
  </si>
  <si>
    <t>CUST000571TF</t>
  </si>
  <si>
    <t>CUST000572KI</t>
  </si>
  <si>
    <t>CUST000573JS</t>
  </si>
  <si>
    <t>CUST000574UO</t>
  </si>
  <si>
    <t>CUST000575CB</t>
  </si>
  <si>
    <t>CUST000576EQ</t>
  </si>
  <si>
    <t>CUST000577RH</t>
  </si>
  <si>
    <t>CUST000578RM</t>
  </si>
  <si>
    <t>CUST000579LH</t>
  </si>
  <si>
    <t>CUST000580TC</t>
  </si>
  <si>
    <t>CUST000581LH</t>
  </si>
  <si>
    <t>CUST000582RM</t>
  </si>
  <si>
    <t>CUST000583RB</t>
  </si>
  <si>
    <t>CUST000584KP</t>
  </si>
  <si>
    <t>CUST000585AH</t>
  </si>
  <si>
    <t>CUST000586FD</t>
  </si>
  <si>
    <t>CUST000587GI</t>
  </si>
  <si>
    <t>CUST000588AT</t>
  </si>
  <si>
    <t>CUST000589EJ</t>
  </si>
  <si>
    <t>CUST000590SN</t>
  </si>
  <si>
    <t>CUST000591VU</t>
  </si>
  <si>
    <t>CUST000592BW</t>
  </si>
  <si>
    <t>CUST000593BA</t>
  </si>
  <si>
    <t>CUST000594XW</t>
  </si>
  <si>
    <t>CUST000595OO</t>
  </si>
  <si>
    <t>CUST000596SK</t>
  </si>
  <si>
    <t>CUST000597CA</t>
  </si>
  <si>
    <t>CUST000598IU</t>
  </si>
  <si>
    <t>CUST000599QV</t>
  </si>
  <si>
    <t>CUST000600XC</t>
  </si>
  <si>
    <t>CUST000601VG</t>
  </si>
  <si>
    <t>CUST000602PN</t>
  </si>
  <si>
    <t>CUST000603KI</t>
  </si>
  <si>
    <t>CUST000604II</t>
  </si>
  <si>
    <t>CUST000605EN</t>
  </si>
  <si>
    <t>CUST000606CN</t>
  </si>
  <si>
    <t>CUST000607XJ</t>
  </si>
  <si>
    <t>CUST000608SV</t>
  </si>
  <si>
    <t>CUST000609VG</t>
  </si>
  <si>
    <t>CUST000610DF</t>
  </si>
  <si>
    <t>CUST000611PT</t>
  </si>
  <si>
    <t>CUST000612RE</t>
  </si>
  <si>
    <t>CUST000613UM</t>
  </si>
  <si>
    <t>CUST000614TT</t>
  </si>
  <si>
    <t>CUST000615LY</t>
  </si>
  <si>
    <t>CUST000616OQ</t>
  </si>
  <si>
    <t>CUST000617QW</t>
  </si>
  <si>
    <t>CUST000618QD</t>
  </si>
  <si>
    <t>CUST000619BL</t>
  </si>
  <si>
    <t>CUST000620HH</t>
  </si>
  <si>
    <t>CUST000621BN</t>
  </si>
  <si>
    <t>CUST000622IL</t>
  </si>
  <si>
    <t>CUST000623BV</t>
  </si>
  <si>
    <t>CUST000624BW</t>
  </si>
  <si>
    <t>CUST000625WP</t>
  </si>
  <si>
    <t>CUST000626NM</t>
  </si>
  <si>
    <t>CUST000627OU</t>
  </si>
  <si>
    <t>CUST000628XL</t>
  </si>
  <si>
    <t>CUST000629VQ</t>
  </si>
  <si>
    <t>CUST000630IM</t>
  </si>
  <si>
    <t>CUST000631DB</t>
  </si>
  <si>
    <t>CUST000632CX</t>
  </si>
  <si>
    <t>CUST000633IS</t>
  </si>
  <si>
    <t>CUST000634NE</t>
  </si>
  <si>
    <t>CUST000635GL</t>
  </si>
  <si>
    <t>CUST000636LN</t>
  </si>
  <si>
    <t>CUST000637EJ</t>
  </si>
  <si>
    <t>CUST000638HK</t>
  </si>
  <si>
    <t>CUST000639IP</t>
  </si>
  <si>
    <t>CUST000640UQ</t>
  </si>
  <si>
    <t>CUST000641BC</t>
  </si>
  <si>
    <t>CUST000642RH</t>
  </si>
  <si>
    <t>CUST000643SR</t>
  </si>
  <si>
    <t>CUST000644XW</t>
  </si>
  <si>
    <t>CUST000645IP</t>
  </si>
  <si>
    <t>CUST000646DJ</t>
  </si>
  <si>
    <t>CUST000647ZS</t>
  </si>
  <si>
    <t>CUST000648KP</t>
  </si>
  <si>
    <t>CUST000649YI</t>
  </si>
  <si>
    <t>CUST000650JU</t>
  </si>
  <si>
    <t>CUST000651VR</t>
  </si>
  <si>
    <t>CUST000652VT</t>
  </si>
  <si>
    <t>CUST000653RN</t>
  </si>
  <si>
    <t>CUST000654QL</t>
  </si>
  <si>
    <t>CUST000655JJ</t>
  </si>
  <si>
    <t>CUST000656EF</t>
  </si>
  <si>
    <t>CUST000657YM</t>
  </si>
  <si>
    <t>CUST000658FD</t>
  </si>
  <si>
    <t>CUST000659CV</t>
  </si>
  <si>
    <t>CUST000660CU</t>
  </si>
  <si>
    <t>CUST000661VW</t>
  </si>
  <si>
    <t>CUST000662AI</t>
  </si>
  <si>
    <t>CUST000663TD</t>
  </si>
  <si>
    <t>CUST000664JE</t>
  </si>
  <si>
    <t>CUST000665VU</t>
  </si>
  <si>
    <t>CUST000666VE</t>
  </si>
  <si>
    <t>CUST000667LK</t>
  </si>
  <si>
    <t>CUST000668RG</t>
  </si>
  <si>
    <t>CUST000669LH</t>
  </si>
  <si>
    <t>CUST000670TL</t>
  </si>
  <si>
    <t>CUST000671NI</t>
  </si>
  <si>
    <t>CUST000672VM</t>
  </si>
  <si>
    <t>CUST000673VJ</t>
  </si>
  <si>
    <t>CUST000674YZ</t>
  </si>
  <si>
    <t>CUST000675MH</t>
  </si>
  <si>
    <t>CUST000676JN</t>
  </si>
  <si>
    <t>CUST000677ZV</t>
  </si>
  <si>
    <t>CUST000678UD</t>
  </si>
  <si>
    <t>CUST000679GQ</t>
  </si>
  <si>
    <t>CUST000680WO</t>
  </si>
  <si>
    <t>CUST000681CV</t>
  </si>
  <si>
    <t>CUST000682WH</t>
  </si>
  <si>
    <t>CUST000683TH</t>
  </si>
  <si>
    <t>CUST000684XD</t>
  </si>
  <si>
    <t>CUST000685LY</t>
  </si>
  <si>
    <t>CUST000686FL</t>
  </si>
  <si>
    <t>CUST000687JA</t>
  </si>
  <si>
    <t>CUST000688BN</t>
  </si>
  <si>
    <t>CUST000689GZ</t>
  </si>
  <si>
    <t>CUST000690JA</t>
  </si>
  <si>
    <t>CUST000691YV</t>
  </si>
  <si>
    <t>CUST000692QU</t>
  </si>
  <si>
    <t>CUST000693DH</t>
  </si>
  <si>
    <t>CUST000694VS</t>
  </si>
  <si>
    <t>CUST000695DS</t>
  </si>
  <si>
    <t>CUST000696LA</t>
  </si>
  <si>
    <t>CUST000697CG</t>
  </si>
  <si>
    <t>CUST000698VO</t>
  </si>
  <si>
    <t>CUST000699SN</t>
  </si>
  <si>
    <t>CUST000700CH</t>
  </si>
  <si>
    <t>CUST000701HB</t>
  </si>
  <si>
    <t>CUST000702KU</t>
  </si>
  <si>
    <t>CUST000703LC</t>
  </si>
  <si>
    <t>CUST000704XP</t>
  </si>
  <si>
    <t>CUST000705AN</t>
  </si>
  <si>
    <t>CUST000706GD</t>
  </si>
  <si>
    <t>CUST000707LP</t>
  </si>
  <si>
    <t>CUST000708GK</t>
  </si>
  <si>
    <t>CUST000709RC</t>
  </si>
  <si>
    <t>CUST000710ZB</t>
  </si>
  <si>
    <t>CUST000711NN</t>
  </si>
  <si>
    <t>CUST000712ZO</t>
  </si>
  <si>
    <t>CUST000713KM</t>
  </si>
  <si>
    <t>CUST000714QZ</t>
  </si>
  <si>
    <t>CUST000715GA</t>
  </si>
  <si>
    <t>CUST000716UI</t>
  </si>
  <si>
    <t>CUST000717TQ</t>
  </si>
  <si>
    <t>CUST000718UT</t>
  </si>
  <si>
    <t>CUST000719IB</t>
  </si>
  <si>
    <t>CUST000720OV</t>
  </si>
  <si>
    <t>CUST000721EU</t>
  </si>
  <si>
    <t>CUST000722MS</t>
  </si>
  <si>
    <t>CUST000723QV</t>
  </si>
  <si>
    <t>CUST000724BU</t>
  </si>
  <si>
    <t>CUST000725LH</t>
  </si>
  <si>
    <t>CUST000726BF</t>
  </si>
  <si>
    <t>CUST000727BY</t>
  </si>
  <si>
    <t>CUST000728NZ</t>
  </si>
  <si>
    <t>CUST000729OG</t>
  </si>
  <si>
    <t>CUST000730TE</t>
  </si>
  <si>
    <t>CUST000731JU</t>
  </si>
  <si>
    <t>CUST000732WI</t>
  </si>
  <si>
    <t>CUST000733DJ</t>
  </si>
  <si>
    <t>CUST000734XT</t>
  </si>
  <si>
    <t>CUST000735XK</t>
  </si>
  <si>
    <t>CUST000736ZM</t>
  </si>
  <si>
    <t>CUST000737MY</t>
  </si>
  <si>
    <t>CUST000738NU</t>
  </si>
  <si>
    <t>CUST000739SC</t>
  </si>
  <si>
    <t>CUST000740PV</t>
  </si>
  <si>
    <t>CUST000741OI</t>
  </si>
  <si>
    <t>CUST000742CR</t>
  </si>
  <si>
    <t>CUST000743HP</t>
  </si>
  <si>
    <t>CUST000744LR</t>
  </si>
  <si>
    <t>CUST000745JB</t>
  </si>
  <si>
    <t>CUST000746WJ</t>
  </si>
  <si>
    <t>CUST000747ZH</t>
  </si>
  <si>
    <t>CUST000748ZY</t>
  </si>
  <si>
    <t>CUST000749BQ</t>
  </si>
  <si>
    <t>CUST000750JU</t>
  </si>
  <si>
    <t>CUST000751RY</t>
  </si>
  <si>
    <t>CUST000752DP</t>
  </si>
  <si>
    <t>CUST000753UA</t>
  </si>
  <si>
    <t>CUST000754BU</t>
  </si>
  <si>
    <t>CUST000755JJ</t>
  </si>
  <si>
    <t>CUST000756OP</t>
  </si>
  <si>
    <t>CUST000757RY</t>
  </si>
  <si>
    <t>CUST000758JT</t>
  </si>
  <si>
    <t>CUST000759ON</t>
  </si>
  <si>
    <t>CUST000760KQ</t>
  </si>
  <si>
    <t>CUST000761GC</t>
  </si>
  <si>
    <t>CUST000762TM</t>
  </si>
  <si>
    <t>CUST000763KO</t>
  </si>
  <si>
    <t>CUST000764GG</t>
  </si>
  <si>
    <t>CUST000765LZ</t>
  </si>
  <si>
    <t>CUST000766HX</t>
  </si>
  <si>
    <t>CUST000767MD</t>
  </si>
  <si>
    <t>CUST000768WL</t>
  </si>
  <si>
    <t>CUST000769XL</t>
  </si>
  <si>
    <t>CUST000770CR</t>
  </si>
  <si>
    <t>CUST000771VI</t>
  </si>
  <si>
    <t>CUST000772JB</t>
  </si>
  <si>
    <t>CUST000773OX</t>
  </si>
  <si>
    <t>CUST000774WS</t>
  </si>
  <si>
    <t>CUST000775YQ</t>
  </si>
  <si>
    <t>CUST000776UN</t>
  </si>
  <si>
    <t>CUST000777DF</t>
  </si>
  <si>
    <t>CUST000778DU</t>
  </si>
  <si>
    <t>CUST000779AO</t>
  </si>
  <si>
    <t>CUST000780JU</t>
  </si>
  <si>
    <t>CUST000781OP</t>
  </si>
  <si>
    <t>CUST000782CI</t>
  </si>
  <si>
    <t>CUST000783ZS</t>
  </si>
  <si>
    <t>CUST000784NT</t>
  </si>
  <si>
    <t>CUST000785VB</t>
  </si>
  <si>
    <t>CUST000786ZQ</t>
  </si>
  <si>
    <t>CUST000787LR</t>
  </si>
  <si>
    <t>CUST000788IW</t>
  </si>
  <si>
    <t>CUST000789UQ</t>
  </si>
  <si>
    <t>CUST000790EZ</t>
  </si>
  <si>
    <t>CUST000791LX</t>
  </si>
  <si>
    <t>CUST000792BD</t>
  </si>
  <si>
    <t>CUST000793DE</t>
  </si>
  <si>
    <t>CUST000794IS</t>
  </si>
  <si>
    <t>CUST000795IY</t>
  </si>
  <si>
    <t>CUST000796XV</t>
  </si>
  <si>
    <t>CUST000797GQ</t>
  </si>
  <si>
    <t>CUST000798OD</t>
  </si>
  <si>
    <t>CUST000799HN</t>
  </si>
  <si>
    <t>CUST000800NE</t>
  </si>
  <si>
    <t>CUST000801YE</t>
  </si>
  <si>
    <t>CUST000802RS</t>
  </si>
  <si>
    <t>CUST000803PV</t>
  </si>
  <si>
    <t>CUST000804OV</t>
  </si>
  <si>
    <t>CUST000805AB</t>
  </si>
  <si>
    <t>CUST000806QO</t>
  </si>
  <si>
    <t>CUST000807QT</t>
  </si>
  <si>
    <t>CUST000808KQ</t>
  </si>
  <si>
    <t>CUST000809MQ</t>
  </si>
  <si>
    <t>CUST000810HY</t>
  </si>
  <si>
    <t>CUST000811MU</t>
  </si>
  <si>
    <t>CUST000812RH</t>
  </si>
  <si>
    <t>CUST000813BB</t>
  </si>
  <si>
    <t>CUST000814LM</t>
  </si>
  <si>
    <t>CUST000815FP</t>
  </si>
  <si>
    <t>CUST000816IS</t>
  </si>
  <si>
    <t>CUST000817TW</t>
  </si>
  <si>
    <t>CUST000818ZD</t>
  </si>
  <si>
    <t>CUST000819JO</t>
  </si>
  <si>
    <t>CUST000820IM</t>
  </si>
  <si>
    <t>CUST000821GG</t>
  </si>
  <si>
    <t>CUST000822CH</t>
  </si>
  <si>
    <t>CUST000823JP</t>
  </si>
  <si>
    <t>CUST000824GW</t>
  </si>
  <si>
    <t>CUST000825EI</t>
  </si>
  <si>
    <t>CUST000826PI</t>
  </si>
  <si>
    <t>CUST000827TM</t>
  </si>
  <si>
    <t>CUST000828NM</t>
  </si>
  <si>
    <t>CUST000829IA</t>
  </si>
  <si>
    <t>CUST000830YN</t>
  </si>
  <si>
    <t>CUST000831ZF</t>
  </si>
  <si>
    <t>CUST000832JB</t>
  </si>
  <si>
    <t>CUST000833MW</t>
  </si>
  <si>
    <t>CUST000834RM</t>
  </si>
  <si>
    <t>CUST000835NW</t>
  </si>
  <si>
    <t>CUST000836LW</t>
  </si>
  <si>
    <t>CUST000837ST</t>
  </si>
  <si>
    <t>CUST000838JK</t>
  </si>
  <si>
    <t>CUST000839OF</t>
  </si>
  <si>
    <t>CUST000840OB</t>
  </si>
  <si>
    <t>CUST000841NT</t>
  </si>
  <si>
    <t>CUST000842HZ</t>
  </si>
  <si>
    <t>CUST000843RD</t>
  </si>
  <si>
    <t>CUST000844ZK</t>
  </si>
  <si>
    <t>CUST000845UI</t>
  </si>
  <si>
    <t>CUST000846YT</t>
  </si>
  <si>
    <t>CUST000847FN</t>
  </si>
  <si>
    <t>CUST000848NB</t>
  </si>
  <si>
    <t>CUST000849DI</t>
  </si>
  <si>
    <t>CUST000850ML</t>
  </si>
  <si>
    <t>CUST000851PN</t>
  </si>
  <si>
    <t>CUST000852IP</t>
  </si>
  <si>
    <t>CUST000853EZ</t>
  </si>
  <si>
    <t>CUST000854TH</t>
  </si>
  <si>
    <t>CUST000855IV</t>
  </si>
  <si>
    <t>CUST000856NS</t>
  </si>
  <si>
    <t>CUST000857HV</t>
  </si>
  <si>
    <t>CUST000858JR</t>
  </si>
  <si>
    <t>CUST000859ZP</t>
  </si>
  <si>
    <t>CUST000860US</t>
  </si>
  <si>
    <t>CUST000861RA</t>
  </si>
  <si>
    <t>CUST000862MZ</t>
  </si>
  <si>
    <t>CUST000863UU</t>
  </si>
  <si>
    <t>CUST000864PS</t>
  </si>
  <si>
    <t>CUST000865PE</t>
  </si>
  <si>
    <t>CUST000866QQ</t>
  </si>
  <si>
    <t>CUST000867VD</t>
  </si>
  <si>
    <t>CUST000868RA</t>
  </si>
  <si>
    <t>CUST000869YC</t>
  </si>
  <si>
    <t>CUST000870AI</t>
  </si>
  <si>
    <t>CUST000871DR</t>
  </si>
  <si>
    <t>CUST000872KU</t>
  </si>
  <si>
    <t>CUST000873XW</t>
  </si>
  <si>
    <t>CUST000874TB</t>
  </si>
  <si>
    <t>CUST000875DF</t>
  </si>
  <si>
    <t>CUST000876IR</t>
  </si>
  <si>
    <t>CUST000877NI</t>
  </si>
  <si>
    <t>CUST000878EX</t>
  </si>
  <si>
    <t>CUST000879IJ</t>
  </si>
  <si>
    <t>CUST000880US</t>
  </si>
  <si>
    <t>CUST000881QS</t>
  </si>
  <si>
    <t>CUST000882PE</t>
  </si>
  <si>
    <t>CUST000883GO</t>
  </si>
  <si>
    <t>CUST000884FZ</t>
  </si>
  <si>
    <t>CUST000885HH</t>
  </si>
  <si>
    <t>CUST000886FS</t>
  </si>
  <si>
    <t>CUST000887IJ</t>
  </si>
  <si>
    <t>CUST000888YU</t>
  </si>
  <si>
    <t>CUST000889HD</t>
  </si>
  <si>
    <t>CUST000890RJ</t>
  </si>
  <si>
    <t>CUST000891ZV</t>
  </si>
  <si>
    <t>CUST000892YU</t>
  </si>
  <si>
    <t>CUST000893HH</t>
  </si>
  <si>
    <t>CUST000894SJ</t>
  </si>
  <si>
    <t>CUST000895LG</t>
  </si>
  <si>
    <t>CUST000896MF</t>
  </si>
  <si>
    <t>CUST000897OY</t>
  </si>
  <si>
    <t>CUST000898SD</t>
  </si>
  <si>
    <t>CUST000899QP</t>
  </si>
  <si>
    <t>CUST000900GR</t>
  </si>
  <si>
    <t>CUST000901NQ</t>
  </si>
  <si>
    <t>CUST000902BK</t>
  </si>
  <si>
    <t>CUST000903SC</t>
  </si>
  <si>
    <t>CUST000904UA</t>
  </si>
  <si>
    <t>CUST000905OY</t>
  </si>
  <si>
    <t>CUST000906KY</t>
  </si>
  <si>
    <t>CUST000907WM</t>
  </si>
  <si>
    <t>CUST000908FZ</t>
  </si>
  <si>
    <t>CUST000909IQ</t>
  </si>
  <si>
    <t>CUST000910XC</t>
  </si>
  <si>
    <t>CUST000911ON</t>
  </si>
  <si>
    <t>CUST000912SY</t>
  </si>
  <si>
    <t>CUST000913XE</t>
  </si>
  <si>
    <t>CUST000914WE</t>
  </si>
  <si>
    <t>CUST000915XZ</t>
  </si>
  <si>
    <t>CUST000916KM</t>
  </si>
  <si>
    <t>CUST000917YZ</t>
  </si>
  <si>
    <t>CUST000918YW</t>
  </si>
  <si>
    <t>CUST000919AO</t>
  </si>
  <si>
    <t>CUST000920CZ</t>
  </si>
  <si>
    <t>CUST000921HZ</t>
  </si>
  <si>
    <t>CUST000922OM</t>
  </si>
  <si>
    <t>CUST000923YW</t>
  </si>
  <si>
    <t>CUST000924MF</t>
  </si>
  <si>
    <t>CUST000925CE</t>
  </si>
  <si>
    <t>CUST000926LG</t>
  </si>
  <si>
    <t>CUST000927ET</t>
  </si>
  <si>
    <t>CUST000928UO</t>
  </si>
  <si>
    <t>CUST000929TE</t>
  </si>
  <si>
    <t>CUST000930WX</t>
  </si>
  <si>
    <t>CUST000931VN</t>
  </si>
  <si>
    <t>CUST000932CR</t>
  </si>
  <si>
    <t>CUST000933ED</t>
  </si>
  <si>
    <t>CUST000934IG</t>
  </si>
  <si>
    <t>CUST000935GG</t>
  </si>
  <si>
    <t>CUST000936TY</t>
  </si>
  <si>
    <t>CUST000937HS</t>
  </si>
  <si>
    <t>CUST000938AQ</t>
  </si>
  <si>
    <t>CUST000939SB</t>
  </si>
  <si>
    <t>CUST000940DH</t>
  </si>
  <si>
    <t>CUST000941KN</t>
  </si>
  <si>
    <t>CUST000942XS</t>
  </si>
  <si>
    <t>CUST000943ID</t>
  </si>
  <si>
    <t>CUST000944XH</t>
  </si>
  <si>
    <t>CUST000945PF</t>
  </si>
  <si>
    <t>CUST000946DD</t>
  </si>
  <si>
    <t>CUST000947TP</t>
  </si>
  <si>
    <t>CUST000948KO</t>
  </si>
  <si>
    <t>CUST000949MN</t>
  </si>
  <si>
    <t>CUST000950RF</t>
  </si>
  <si>
    <t>CUST000951GT</t>
  </si>
  <si>
    <t>CUST000952WC</t>
  </si>
  <si>
    <t>CUST000953LS</t>
  </si>
  <si>
    <t>CUST000954CO</t>
  </si>
  <si>
    <t>CUST000955BO</t>
  </si>
  <si>
    <t>CUST000956NO</t>
  </si>
  <si>
    <t>CUST000957DI</t>
  </si>
  <si>
    <t>CUST000958ND</t>
  </si>
  <si>
    <t>CUST000959FP</t>
  </si>
  <si>
    <t>CUST000960CN</t>
  </si>
  <si>
    <t>CUST000961VL</t>
  </si>
  <si>
    <t>CUST000962NL</t>
  </si>
  <si>
    <t>CUST000963BM</t>
  </si>
  <si>
    <t>CUST000964US</t>
  </si>
  <si>
    <t>CUST000965KV</t>
  </si>
  <si>
    <t>CUST000966TP</t>
  </si>
  <si>
    <t>CUST000967BI</t>
  </si>
  <si>
    <t>CUST000968BZ</t>
  </si>
  <si>
    <t>CUST000969YB</t>
  </si>
  <si>
    <t>CUST000970YA</t>
  </si>
  <si>
    <t>CUST000971KT</t>
  </si>
  <si>
    <t>CUST000972TZ</t>
  </si>
  <si>
    <t>CUST000973QK</t>
  </si>
  <si>
    <t>CUST000974ZJ</t>
  </si>
  <si>
    <t>CUST000975WX</t>
  </si>
  <si>
    <t>CUST000976JR</t>
  </si>
  <si>
    <t>CUST000977RO</t>
  </si>
  <si>
    <t>CUST000978QJ</t>
  </si>
  <si>
    <t>CUST000979EN</t>
  </si>
  <si>
    <t>CUST000980NS</t>
  </si>
  <si>
    <t>CUST000981FA</t>
  </si>
  <si>
    <t>CUST000982AH</t>
  </si>
  <si>
    <t>CUST000983RO</t>
  </si>
  <si>
    <t>CUST000984NV</t>
  </si>
  <si>
    <t>CUST000985GJ</t>
  </si>
  <si>
    <t>CUST000986HY</t>
  </si>
  <si>
    <t>CUST000987SC</t>
  </si>
  <si>
    <t>CUST000988VK</t>
  </si>
  <si>
    <t>CUST000989TW</t>
  </si>
  <si>
    <t>CUST000990AF</t>
  </si>
  <si>
    <t>CUST000991CA</t>
  </si>
  <si>
    <t>CUST000992PS</t>
  </si>
  <si>
    <t>CUST000993BT</t>
  </si>
  <si>
    <t>CUST000994KG</t>
  </si>
  <si>
    <t>CUST000995FW</t>
  </si>
  <si>
    <t>CUST000996BN</t>
  </si>
  <si>
    <t>CUST000997HV</t>
  </si>
  <si>
    <t>CUST000998TI</t>
  </si>
  <si>
    <t>CUST000999PR</t>
  </si>
  <si>
    <t>CUST001000IH</t>
  </si>
  <si>
    <t>CUST001001DR</t>
  </si>
  <si>
    <t>CUST001002FH</t>
  </si>
  <si>
    <t>CUST001003BY</t>
  </si>
  <si>
    <t>CUST001004WX</t>
  </si>
  <si>
    <t>CUST001005QL</t>
  </si>
  <si>
    <t>CUST001006MZ</t>
  </si>
  <si>
    <t>CUST001007YR</t>
  </si>
  <si>
    <t>CUST001008UI</t>
  </si>
  <si>
    <t>CUST001009KD</t>
  </si>
  <si>
    <t>CUST001010JT</t>
  </si>
  <si>
    <t>CUST001011MW</t>
  </si>
  <si>
    <t>CUST001012HS</t>
  </si>
  <si>
    <t>CUST001013UX</t>
  </si>
  <si>
    <t>CUST001014OZ</t>
  </si>
  <si>
    <t>CUST001015OD</t>
  </si>
  <si>
    <t>CUST001016GF</t>
  </si>
  <si>
    <t>CUST001017QX</t>
  </si>
  <si>
    <t>CUST001018WC</t>
  </si>
  <si>
    <t>CUST001019SE</t>
  </si>
  <si>
    <t>CUST001020GR</t>
  </si>
  <si>
    <t>CUST001021PW</t>
  </si>
  <si>
    <t>CUST001022ET</t>
  </si>
  <si>
    <t>CUST001023SO</t>
  </si>
  <si>
    <t>CUST001024MW</t>
  </si>
  <si>
    <t>CUST001025IY</t>
  </si>
  <si>
    <t>CUST001026AY</t>
  </si>
  <si>
    <t>CUST001027ZD</t>
  </si>
  <si>
    <t>CUST001028ZM</t>
  </si>
  <si>
    <t>CUST001029GP</t>
  </si>
  <si>
    <t>CUST001030FX</t>
  </si>
  <si>
    <t>CUST001031OU</t>
  </si>
  <si>
    <t>CUST001032JN</t>
  </si>
  <si>
    <t>CUST001033JG</t>
  </si>
  <si>
    <t>CUST001034NM</t>
  </si>
  <si>
    <t>CUST001035CZ</t>
  </si>
  <si>
    <t>CUST001036MV</t>
  </si>
  <si>
    <t>CUST001037XJ</t>
  </si>
  <si>
    <t>CUST001038KO</t>
  </si>
  <si>
    <t>CUST001039FD</t>
  </si>
  <si>
    <t>CUST001040GY</t>
  </si>
  <si>
    <t>CUST001041PK</t>
  </si>
  <si>
    <t>CUST001042DI</t>
  </si>
  <si>
    <t>CUST001043JV</t>
  </si>
  <si>
    <t>CUST001044MR</t>
  </si>
  <si>
    <t>CUST001045RG</t>
  </si>
  <si>
    <t>CUST001046VZ</t>
  </si>
  <si>
    <t>CUST001047QM</t>
  </si>
  <si>
    <t>CUST001048EU</t>
  </si>
  <si>
    <t>CUST001049ES</t>
  </si>
  <si>
    <t>CUST001050MX</t>
  </si>
  <si>
    <t>CUST001051OQ</t>
  </si>
  <si>
    <t>CUST001052BA</t>
  </si>
  <si>
    <t>CUST001053WY</t>
  </si>
  <si>
    <t>CUST001054RT</t>
  </si>
  <si>
    <t>CUST001055KV</t>
  </si>
  <si>
    <t>CUST001056GS</t>
  </si>
  <si>
    <t>CUST001057AN</t>
  </si>
  <si>
    <t>CUST001058JQ</t>
  </si>
  <si>
    <t>CUST001059RQ</t>
  </si>
  <si>
    <t>CUST001060MM</t>
  </si>
  <si>
    <t>CUST001061AO</t>
  </si>
  <si>
    <t>CUST001062AN</t>
  </si>
  <si>
    <t>CUST001063HZ</t>
  </si>
  <si>
    <t>CUST001064AV</t>
  </si>
  <si>
    <t>CUST001065RU</t>
  </si>
  <si>
    <t>CUST001066XC</t>
  </si>
  <si>
    <t>CUST001067CD</t>
  </si>
  <si>
    <t>CUST001068EN</t>
  </si>
  <si>
    <t>CUST001069VG</t>
  </si>
  <si>
    <t>CUST001070KJ</t>
  </si>
  <si>
    <t>CUST001071KO</t>
  </si>
  <si>
    <t>CUST001072ZF</t>
  </si>
  <si>
    <t>CUST001073RW</t>
  </si>
  <si>
    <t>CUST001074QW</t>
  </si>
  <si>
    <t>CUST001075TC</t>
  </si>
  <si>
    <t>CUST001076JO</t>
  </si>
  <si>
    <t>CUST001077BA</t>
  </si>
  <si>
    <t>CUST001078EM</t>
  </si>
  <si>
    <t>CUST001079LU</t>
  </si>
  <si>
    <t>CUST001080OW</t>
  </si>
  <si>
    <t>CUST001081CN</t>
  </si>
  <si>
    <t>CUST001082BF</t>
  </si>
  <si>
    <t>CUST001083WX</t>
  </si>
  <si>
    <t>CUST001084MB</t>
  </si>
  <si>
    <t>CUST001085BY</t>
  </si>
  <si>
    <t>CUST001086XO</t>
  </si>
  <si>
    <t>CUST001087AY</t>
  </si>
  <si>
    <t>CUST001088IY</t>
  </si>
  <si>
    <t>CUST001089PT</t>
  </si>
  <si>
    <t>CUST001090SK</t>
  </si>
  <si>
    <t>CUST001091CE</t>
  </si>
  <si>
    <t>CUST001092GV</t>
  </si>
  <si>
    <t>CUST001093KX</t>
  </si>
  <si>
    <t>CUST001094IT</t>
  </si>
  <si>
    <t>CUST001095DZ</t>
  </si>
  <si>
    <t>CUST001096SN</t>
  </si>
  <si>
    <t>CUST001097ZB</t>
  </si>
  <si>
    <t>CUST001098LV</t>
  </si>
  <si>
    <t>CUST001099IT</t>
  </si>
  <si>
    <t>CUST001100YK</t>
  </si>
  <si>
    <t>CUST001101UA</t>
  </si>
  <si>
    <t>CUST001102HZ</t>
  </si>
  <si>
    <t>CUST001103MJ</t>
  </si>
  <si>
    <t>CUST001104YL</t>
  </si>
  <si>
    <t>CUST001105RR</t>
  </si>
  <si>
    <t>CUST001106CQ</t>
  </si>
  <si>
    <t>CUST001107US</t>
  </si>
  <si>
    <t>CUST001108CE</t>
  </si>
  <si>
    <t>CUST001109SQ</t>
  </si>
  <si>
    <t>CUST001110TI</t>
  </si>
  <si>
    <t>CUST001111CA</t>
  </si>
  <si>
    <t>CUST001112IJ</t>
  </si>
  <si>
    <t>CUST001113HD</t>
  </si>
  <si>
    <t>CUST001114EL</t>
  </si>
  <si>
    <t>CUST001115OK</t>
  </si>
  <si>
    <t>CUST001116AJ</t>
  </si>
  <si>
    <t>CUST001117CP</t>
  </si>
  <si>
    <t>CUST001118IK</t>
  </si>
  <si>
    <t>CUST001119HK</t>
  </si>
  <si>
    <t>CUST001120CX</t>
  </si>
  <si>
    <t>CUST001121XZ</t>
  </si>
  <si>
    <t>CUST001122OE</t>
  </si>
  <si>
    <t>CUST001123JD</t>
  </si>
  <si>
    <t>CUST001124HM</t>
  </si>
  <si>
    <t>CUST001125BL</t>
  </si>
  <si>
    <t>CUST001126KM</t>
  </si>
  <si>
    <t>CUST001127BG</t>
  </si>
  <si>
    <t>CUST001128GQ</t>
  </si>
  <si>
    <t>CUST001129PF</t>
  </si>
  <si>
    <t>CUST001130CH</t>
  </si>
  <si>
    <t>CUST001131YI</t>
  </si>
  <si>
    <t>CUST001132QU</t>
  </si>
  <si>
    <t>CUST001133II</t>
  </si>
  <si>
    <t>CUST001134VW</t>
  </si>
  <si>
    <t>CUST001135ZD</t>
  </si>
  <si>
    <t>CUST001136IY</t>
  </si>
  <si>
    <t>CUST001137FI</t>
  </si>
  <si>
    <t>CUST001138ZZ</t>
  </si>
  <si>
    <t>CUST001139HS</t>
  </si>
  <si>
    <t>CUST001140MO</t>
  </si>
  <si>
    <t>CUST001141GJ</t>
  </si>
  <si>
    <t>CUST001142VK</t>
  </si>
  <si>
    <t>CUST001143CO</t>
  </si>
  <si>
    <t>CUST001144PO</t>
  </si>
  <si>
    <t>CUST001145RO</t>
  </si>
  <si>
    <t>CUST001146YM</t>
  </si>
  <si>
    <t>CUST001147SL</t>
  </si>
  <si>
    <t>CUST001148HS</t>
  </si>
  <si>
    <t>CUST001149VU</t>
  </si>
  <si>
    <t>CUST001150KM</t>
  </si>
  <si>
    <t>CUST001151QG</t>
  </si>
  <si>
    <t>CUST001152RS</t>
  </si>
  <si>
    <t>CUST001153UB</t>
  </si>
  <si>
    <t>CUST001154ZM</t>
  </si>
  <si>
    <t>CUST001155KN</t>
  </si>
  <si>
    <t>CUST001156XR</t>
  </si>
  <si>
    <t>CUST001157OU</t>
  </si>
  <si>
    <t>CUST001158JX</t>
  </si>
  <si>
    <t>CUST001159NQ</t>
  </si>
  <si>
    <t>CUST001160CT</t>
  </si>
  <si>
    <t>CUST001161RJ</t>
  </si>
  <si>
    <t>CUST001162QB</t>
  </si>
  <si>
    <t>CUST001163ZR</t>
  </si>
  <si>
    <t>CUST001164KT</t>
  </si>
  <si>
    <t>CUST001165ZL</t>
  </si>
  <si>
    <t>CUST001166AG</t>
  </si>
  <si>
    <t>CUST001167NN</t>
  </si>
  <si>
    <t>CUST001168PO</t>
  </si>
  <si>
    <t>CUST001169LK</t>
  </si>
  <si>
    <t>CUST001170UP</t>
  </si>
  <si>
    <t>CUST001171NI</t>
  </si>
  <si>
    <t>CUST001172AC</t>
  </si>
  <si>
    <t>CUST001173KZ</t>
  </si>
  <si>
    <t>CUST001174DY</t>
  </si>
  <si>
    <t>CUST001175DI</t>
  </si>
  <si>
    <t>CUST001176LF</t>
  </si>
  <si>
    <t>CUST001177MM</t>
  </si>
  <si>
    <t>CUST001178LS</t>
  </si>
  <si>
    <t>CUST001179IH</t>
  </si>
  <si>
    <t>CUST001180VC</t>
  </si>
  <si>
    <t>CUST001181WQ</t>
  </si>
  <si>
    <t>CUST001182RE</t>
  </si>
  <si>
    <t>CUST001183ZG</t>
  </si>
  <si>
    <t>CUST001184EE</t>
  </si>
  <si>
    <t>CUST001185OY</t>
  </si>
  <si>
    <t>CUST001186GK</t>
  </si>
  <si>
    <t>CUST001187EQ</t>
  </si>
  <si>
    <t>CUST001188LA</t>
  </si>
  <si>
    <t>CUST001189PF</t>
  </si>
  <si>
    <t>CUST001190PK</t>
  </si>
  <si>
    <t>CUST001191SF</t>
  </si>
  <si>
    <t>CUST001192TV</t>
  </si>
  <si>
    <t>CUST001193BC</t>
  </si>
  <si>
    <t>CUST001194WE</t>
  </si>
  <si>
    <t>CUST001195IL</t>
  </si>
  <si>
    <t>CUST001196GW</t>
  </si>
  <si>
    <t>CUST001197NQ</t>
  </si>
  <si>
    <t>CUST001198PP</t>
  </si>
  <si>
    <t>CUST001199PJ</t>
  </si>
  <si>
    <t>CUST001200VQ</t>
  </si>
  <si>
    <t>CUST001201VS</t>
  </si>
  <si>
    <t>CUST001202HP</t>
  </si>
  <si>
    <t>CUST001203CD</t>
  </si>
  <si>
    <t>CUST001204DH</t>
  </si>
  <si>
    <t>CUST001205ES</t>
  </si>
  <si>
    <t>CUST001206NK</t>
  </si>
  <si>
    <t>CUST001207DJ</t>
  </si>
  <si>
    <t>CUST001208EQ</t>
  </si>
  <si>
    <t>CUST001209SQ</t>
  </si>
  <si>
    <t>CUST001210ZO</t>
  </si>
  <si>
    <t>CUST001211MD</t>
  </si>
  <si>
    <t>CUST001212IL</t>
  </si>
  <si>
    <t>CUST001213BJ</t>
  </si>
  <si>
    <t>CUST001214AD</t>
  </si>
  <si>
    <t>CUST001215VZ</t>
  </si>
  <si>
    <t>CUST001216NM</t>
  </si>
  <si>
    <t>CUST001217RK</t>
  </si>
  <si>
    <t>CUST001218VM</t>
  </si>
  <si>
    <t>CUST001219CA</t>
  </si>
  <si>
    <t>CUST001220TH</t>
  </si>
  <si>
    <t>CUST001221HN</t>
  </si>
  <si>
    <t>CUST001222EL</t>
  </si>
  <si>
    <t>CUST001223TT</t>
  </si>
  <si>
    <t>CUST001224OC</t>
  </si>
  <si>
    <t>CUST001225CU</t>
  </si>
  <si>
    <t>CUST001226VJ</t>
  </si>
  <si>
    <t>CUST001227VB</t>
  </si>
  <si>
    <t>CUST001228SO</t>
  </si>
  <si>
    <t>CUST001229ZC</t>
  </si>
  <si>
    <t>CUST001230VT</t>
  </si>
  <si>
    <t>CUST001231HZ</t>
  </si>
  <si>
    <t>CUST001232LJ</t>
  </si>
  <si>
    <t>CUST001233VL</t>
  </si>
  <si>
    <t>CUST001234ZU</t>
  </si>
  <si>
    <t>CUST001235GV</t>
  </si>
  <si>
    <t>CUST001236PJ</t>
  </si>
  <si>
    <t>CUST001237SQ</t>
  </si>
  <si>
    <t>CUST001238ED</t>
  </si>
  <si>
    <t>CUST001239FF</t>
  </si>
  <si>
    <t>CUST001240BJ</t>
  </si>
  <si>
    <t>CUST001241HO</t>
  </si>
  <si>
    <t>CUST001242IS</t>
  </si>
  <si>
    <t>CUST001243HG</t>
  </si>
  <si>
    <t>CUST001244WZ</t>
  </si>
  <si>
    <t>CUST001245RC</t>
  </si>
  <si>
    <t>CUST001246ZU</t>
  </si>
  <si>
    <t>CUST001247XZ</t>
  </si>
  <si>
    <t>CUST001248WD</t>
  </si>
  <si>
    <t>CUST001249WG</t>
  </si>
  <si>
    <t>CUST001250SV</t>
  </si>
  <si>
    <t>CUST001251TR</t>
  </si>
  <si>
    <t>CUST001252MP</t>
  </si>
  <si>
    <t>CUST001253GK</t>
  </si>
  <si>
    <t>CUST001254LQ</t>
  </si>
  <si>
    <t>CUST001255WC</t>
  </si>
  <si>
    <t>CUST001256NH</t>
  </si>
  <si>
    <t>CUST001257YJ</t>
  </si>
  <si>
    <t>CUST001258YI</t>
  </si>
  <si>
    <t>CUST001259AU</t>
  </si>
  <si>
    <t>CUST001260TT</t>
  </si>
  <si>
    <t>CUST001261LR</t>
  </si>
  <si>
    <t>CUST001262JB</t>
  </si>
  <si>
    <t>CUST001263NF</t>
  </si>
  <si>
    <t>CUST001264LF</t>
  </si>
  <si>
    <t>CUST001265GV</t>
  </si>
  <si>
    <t>CUST001266IP</t>
  </si>
  <si>
    <t>CUST001267OM</t>
  </si>
  <si>
    <t>CUST001268IR</t>
  </si>
  <si>
    <t>CUST001269BC</t>
  </si>
  <si>
    <t>CUST001270UL</t>
  </si>
  <si>
    <t>CUST001271DW</t>
  </si>
  <si>
    <t>CUST001272LA</t>
  </si>
  <si>
    <t>CUST001273YF</t>
  </si>
  <si>
    <t>CUST001274RD</t>
  </si>
  <si>
    <t>CUST001275QE</t>
  </si>
  <si>
    <t>CUST001276YH</t>
  </si>
  <si>
    <t>CUST001277RG</t>
  </si>
  <si>
    <t>CUST001278JX</t>
  </si>
  <si>
    <t>CUST001279EK</t>
  </si>
  <si>
    <t>CUST001280HS</t>
  </si>
  <si>
    <t>CUST001281GR</t>
  </si>
  <si>
    <t>CUST001282SA</t>
  </si>
  <si>
    <t>CUST001283MD</t>
  </si>
  <si>
    <t>CUST001284FR</t>
  </si>
  <si>
    <t>CUST001285AS</t>
  </si>
  <si>
    <t>CUST001286VZ</t>
  </si>
  <si>
    <t>CUST001287KD</t>
  </si>
  <si>
    <t>CUST001288BJ</t>
  </si>
  <si>
    <t>CUST001289SC</t>
  </si>
  <si>
    <t>CUST001290IW</t>
  </si>
  <si>
    <t>CUST001291DU</t>
  </si>
  <si>
    <t>CUST001292TD</t>
  </si>
  <si>
    <t>CUST001293ZD</t>
  </si>
  <si>
    <t>CUST001294NA</t>
  </si>
  <si>
    <t>CUST001295QL</t>
  </si>
  <si>
    <t>CUST001296SQ</t>
  </si>
  <si>
    <t>CUST001297DK</t>
  </si>
  <si>
    <t>CUST001298RW</t>
  </si>
  <si>
    <t>CUST001299CC</t>
  </si>
  <si>
    <t>CUST001300TP</t>
  </si>
  <si>
    <t>CUST001301JZ</t>
  </si>
  <si>
    <t>CUST001302ID</t>
  </si>
  <si>
    <t>CUST001303HC</t>
  </si>
  <si>
    <t>CUST001304OP</t>
  </si>
  <si>
    <t>CUST001305PU</t>
  </si>
  <si>
    <t>CUST001306RW</t>
  </si>
  <si>
    <t>CUST001307RH</t>
  </si>
  <si>
    <t>CUST001308NN</t>
  </si>
  <si>
    <t>CUST001309TH</t>
  </si>
  <si>
    <t>CUST001310BX</t>
  </si>
  <si>
    <t>CUST001311YM</t>
  </si>
  <si>
    <t>CUST001312CM</t>
  </si>
  <si>
    <t>CUST001313PN</t>
  </si>
  <si>
    <t>CUST001314ZZ</t>
  </si>
  <si>
    <t>CUST001315YD</t>
  </si>
  <si>
    <t>CUST001316WO</t>
  </si>
  <si>
    <t>CUST001317JR</t>
  </si>
  <si>
    <t>CUST001318TY</t>
  </si>
  <si>
    <t>CUST001319UA</t>
  </si>
  <si>
    <t>CUST001320BG</t>
  </si>
  <si>
    <t>CUST001321BB</t>
  </si>
  <si>
    <t>CUST001322UN</t>
  </si>
  <si>
    <t>CUST001323QN</t>
  </si>
  <si>
    <t>CUST001324KS</t>
  </si>
  <si>
    <t>CUST001325CN</t>
  </si>
  <si>
    <t>CUST001326QH</t>
  </si>
  <si>
    <t>CUST001327IN</t>
  </si>
  <si>
    <t>CUST001328FV</t>
  </si>
  <si>
    <t>CUST001329NK</t>
  </si>
  <si>
    <t>CUST001330QV</t>
  </si>
  <si>
    <t>CUST001331RB</t>
  </si>
  <si>
    <t>CUST001332SS</t>
  </si>
  <si>
    <t>CUST001333WB</t>
  </si>
  <si>
    <t>CUST001334CL</t>
  </si>
  <si>
    <t>CUST001335LP</t>
  </si>
  <si>
    <t>CUST001336IT</t>
  </si>
  <si>
    <t>CUST001337TD</t>
  </si>
  <si>
    <t>CUST001338SS</t>
  </si>
  <si>
    <t>CUST001339EY</t>
  </si>
  <si>
    <t>CUST001340NU</t>
  </si>
  <si>
    <t>CUST001341SE</t>
  </si>
  <si>
    <t>CUST001342DU</t>
  </si>
  <si>
    <t>CUST001343GX</t>
  </si>
  <si>
    <t>CUST001344UA</t>
  </si>
  <si>
    <t>CUST001345UH</t>
  </si>
  <si>
    <t>CUST001346BS</t>
  </si>
  <si>
    <t>CUST001347OC</t>
  </si>
  <si>
    <t>CUST001348LJ</t>
  </si>
  <si>
    <t>CUST001349MO</t>
  </si>
  <si>
    <t>CUST001350JG</t>
  </si>
  <si>
    <t>CUST001351CO</t>
  </si>
  <si>
    <t>CUST001352SF</t>
  </si>
  <si>
    <t>CUST001353NB</t>
  </si>
  <si>
    <t>CUST001354WG</t>
  </si>
  <si>
    <t>CUST001355MJ</t>
  </si>
  <si>
    <t>CUST001356DY</t>
  </si>
  <si>
    <t>CUST001357WO</t>
  </si>
  <si>
    <t>CUST001358XT</t>
  </si>
  <si>
    <t>CUST001359KI</t>
  </si>
  <si>
    <t>CUST001360KS</t>
  </si>
  <si>
    <t>CUST001361HC</t>
  </si>
  <si>
    <t>CUST001362JN</t>
  </si>
  <si>
    <t>CUST001363XE</t>
  </si>
  <si>
    <t>CUST001364UZ</t>
  </si>
  <si>
    <t>CUST001365YB</t>
  </si>
  <si>
    <t>CUST001366MH</t>
  </si>
  <si>
    <t>CUST001367VI</t>
  </si>
  <si>
    <t>CUST001368OA</t>
  </si>
  <si>
    <t>CUST001369FO</t>
  </si>
  <si>
    <t>CUST001370HQ</t>
  </si>
  <si>
    <t>CUST001371MP</t>
  </si>
  <si>
    <t>CUST001372MU</t>
  </si>
  <si>
    <t>CUST001373FX</t>
  </si>
  <si>
    <t>CUST001374TG</t>
  </si>
  <si>
    <t>CUST001375AK</t>
  </si>
  <si>
    <t>CUST001376GJ</t>
  </si>
  <si>
    <t>CUST001377VW</t>
  </si>
  <si>
    <t>CUST001378YA</t>
  </si>
  <si>
    <t>CUST001379RW</t>
  </si>
  <si>
    <t>CUST001380SC</t>
  </si>
  <si>
    <t>CUST001381NG</t>
  </si>
  <si>
    <t>CUST001382MB</t>
  </si>
  <si>
    <t>CUST001383ZS</t>
  </si>
  <si>
    <t>CUST001384CX</t>
  </si>
  <si>
    <t>CUST001385XN</t>
  </si>
  <si>
    <t>CUST001386SJ</t>
  </si>
  <si>
    <t>CUST001387ZC</t>
  </si>
  <si>
    <t>CUST001388CD</t>
  </si>
  <si>
    <t>CUST001389VB</t>
  </si>
  <si>
    <t>CUST001390OL</t>
  </si>
  <si>
    <t>CUST001391ZG</t>
  </si>
  <si>
    <t>CUST001392GI</t>
  </si>
  <si>
    <t>CUST001393US</t>
  </si>
  <si>
    <t>CUST001394TI</t>
  </si>
  <si>
    <t>CUST001395HB</t>
  </si>
  <si>
    <t>CUST001396FU</t>
  </si>
  <si>
    <t>CUST001397PE</t>
  </si>
  <si>
    <t>CUST001398EM</t>
  </si>
  <si>
    <t>CUST001399KN</t>
  </si>
  <si>
    <t>CUST001400ZF</t>
  </si>
  <si>
    <t>CUST001401IG</t>
  </si>
  <si>
    <t>CUST001402DE</t>
  </si>
  <si>
    <t>CUST001403RV</t>
  </si>
  <si>
    <t>CUST001404SB</t>
  </si>
  <si>
    <t>CUST001405VI</t>
  </si>
  <si>
    <t>CUST001406CG</t>
  </si>
  <si>
    <t>CUST001407JN</t>
  </si>
  <si>
    <t>CUST001408RG</t>
  </si>
  <si>
    <t>CUST001409ZA</t>
  </si>
  <si>
    <t>CUST001410KL</t>
  </si>
  <si>
    <t>CUST001411TG</t>
  </si>
  <si>
    <t>CUST001412MU</t>
  </si>
  <si>
    <t>CUST001413DA</t>
  </si>
  <si>
    <t>CUST001414VZ</t>
  </si>
  <si>
    <t>CUST001415DV</t>
  </si>
  <si>
    <t>CUST001416JQ</t>
  </si>
  <si>
    <t>CUST001417QP</t>
  </si>
  <si>
    <t>CUST001418GV</t>
  </si>
  <si>
    <t>CUST001419AB</t>
  </si>
  <si>
    <t>CUST001420XL</t>
  </si>
  <si>
    <t>CUST001421DX</t>
  </si>
  <si>
    <t>CUST001422VI</t>
  </si>
  <si>
    <t>CUST001423BL</t>
  </si>
  <si>
    <t>CUST001424EO</t>
  </si>
  <si>
    <t>CUST001425VK</t>
  </si>
  <si>
    <t>CUST001426AR</t>
  </si>
  <si>
    <t>CUST001427EF</t>
  </si>
  <si>
    <t>CUST001428EH</t>
  </si>
  <si>
    <t>CUST001429WA</t>
  </si>
  <si>
    <t>CUST001430QG</t>
  </si>
  <si>
    <t>CUST001431HK</t>
  </si>
  <si>
    <t>CUST001432OB</t>
  </si>
  <si>
    <t>CUST001433HD</t>
  </si>
  <si>
    <t>CUST001434FX</t>
  </si>
  <si>
    <t>CUST001435NQ</t>
  </si>
  <si>
    <t>CUST001436UU</t>
  </si>
  <si>
    <t>CUST001437ZU</t>
  </si>
  <si>
    <t>CUST001438JO</t>
  </si>
  <si>
    <t>CUST001439MX</t>
  </si>
  <si>
    <t>CUST001440NK</t>
  </si>
  <si>
    <t>CUST001441EI</t>
  </si>
  <si>
    <t>CUST001442FX</t>
  </si>
  <si>
    <t>CUST001443UB</t>
  </si>
  <si>
    <t>CUST001444ZN</t>
  </si>
  <si>
    <t>CUST001445TZ</t>
  </si>
  <si>
    <t>CUST001446ZC</t>
  </si>
  <si>
    <t>CUST001447RG</t>
  </si>
  <si>
    <t>CUST001448VX</t>
  </si>
  <si>
    <t>CUST001449BZ</t>
  </si>
  <si>
    <t>CUST001450FW</t>
  </si>
  <si>
    <t>CUST001451UJ</t>
  </si>
  <si>
    <t>CUST001452VV</t>
  </si>
  <si>
    <t>CUST001453EP</t>
  </si>
  <si>
    <t>CUST001454US</t>
  </si>
  <si>
    <t>CUST001455XA</t>
  </si>
  <si>
    <t>CUST001456SY</t>
  </si>
  <si>
    <t>CUST001457OO</t>
  </si>
  <si>
    <t>CUST001458EZ</t>
  </si>
  <si>
    <t>CUST001459WM</t>
  </si>
  <si>
    <t>CUST001460IM</t>
  </si>
  <si>
    <t>CUST001461CG</t>
  </si>
  <si>
    <t>CUST001462FN</t>
  </si>
  <si>
    <t>CUST001463AX</t>
  </si>
  <si>
    <t>CUST001464FD</t>
  </si>
  <si>
    <t>CUST001465SX</t>
  </si>
  <si>
    <t>CUST001466VI</t>
  </si>
  <si>
    <t>CUST001467AP</t>
  </si>
  <si>
    <t>CUST001468XU</t>
  </si>
  <si>
    <t>CUST001469WW</t>
  </si>
  <si>
    <t>CUST001470YJ</t>
  </si>
  <si>
    <t>CUST001471YK</t>
  </si>
  <si>
    <t>CUST001472CH</t>
  </si>
  <si>
    <t>CUST001473DE</t>
  </si>
  <si>
    <t>CUST001474YU</t>
  </si>
  <si>
    <t>CUST001475YQ</t>
  </si>
  <si>
    <t>CUST001476EZ</t>
  </si>
  <si>
    <t>CUST001477SY</t>
  </si>
  <si>
    <t>CUST001478UF</t>
  </si>
  <si>
    <t>CUST001479PE</t>
  </si>
  <si>
    <t>CUST001480HR</t>
  </si>
  <si>
    <t>CUST001481DS</t>
  </si>
  <si>
    <t>CUST001482YY</t>
  </si>
  <si>
    <t>CUST001483KZ</t>
  </si>
  <si>
    <t>CUST001484ZA</t>
  </si>
  <si>
    <t>CUST001485PX</t>
  </si>
  <si>
    <t>CUST001486ZF</t>
  </si>
  <si>
    <t>CUST001487OY</t>
  </si>
  <si>
    <t>CUST001488DT</t>
  </si>
  <si>
    <t>CUST001489GZ</t>
  </si>
  <si>
    <t>CUST001490EX</t>
  </si>
  <si>
    <t>CUST001491CS</t>
  </si>
  <si>
    <t>CUST001492QX</t>
  </si>
  <si>
    <t>CUST001493LG</t>
  </si>
  <si>
    <t>CUST001494GB</t>
  </si>
  <si>
    <t>CUST001495GC</t>
  </si>
  <si>
    <t>CUST001496AK</t>
  </si>
  <si>
    <t>CUST001497TZ</t>
  </si>
  <si>
    <t>CUST001498WM</t>
  </si>
  <si>
    <t>CUST001499JO</t>
  </si>
  <si>
    <t>CUST001500CM</t>
  </si>
  <si>
    <t>Sanction_Amount (in USD)</t>
  </si>
  <si>
    <t>Tenure</t>
  </si>
  <si>
    <t>Reporting_Date</t>
  </si>
  <si>
    <t>Maturity_Date</t>
  </si>
  <si>
    <t>observation_date</t>
  </si>
  <si>
    <t>UNRATE</t>
  </si>
  <si>
    <t>Origination_Interest_Rate</t>
  </si>
  <si>
    <t>FEDFUNDS</t>
  </si>
  <si>
    <t>01-03-2010</t>
  </si>
  <si>
    <t>01-06-2010</t>
  </si>
  <si>
    <t>01-09-2010</t>
  </si>
  <si>
    <t>01-12-2010</t>
  </si>
  <si>
    <t>01-03-2011</t>
  </si>
  <si>
    <t>01-06-2011</t>
  </si>
  <si>
    <t>01-09-2011</t>
  </si>
  <si>
    <t>01-12-2011</t>
  </si>
  <si>
    <t>01-03-2012</t>
  </si>
  <si>
    <t>01-06-2012</t>
  </si>
  <si>
    <t>01-09-2012</t>
  </si>
  <si>
    <t>01-12-2012</t>
  </si>
  <si>
    <t>01-03-2013</t>
  </si>
  <si>
    <t>01-06-2013</t>
  </si>
  <si>
    <t>01-09-2013</t>
  </si>
  <si>
    <t>01-12-2013</t>
  </si>
  <si>
    <t>01-03-2014</t>
  </si>
  <si>
    <t>01-06-2014</t>
  </si>
  <si>
    <t>01-09-2014</t>
  </si>
  <si>
    <t>01-12-2014</t>
  </si>
  <si>
    <t>01-03-2015</t>
  </si>
  <si>
    <t>01-06-2015</t>
  </si>
  <si>
    <t>01-09-2015</t>
  </si>
  <si>
    <t>01-12-2015</t>
  </si>
  <si>
    <t>01-03-2016</t>
  </si>
  <si>
    <t>01-06-2016</t>
  </si>
  <si>
    <t>01-09-2016</t>
  </si>
  <si>
    <t>01-12-2016</t>
  </si>
  <si>
    <t>01-03-2017</t>
  </si>
  <si>
    <t>01-06-2017</t>
  </si>
  <si>
    <t>01-09-2017</t>
  </si>
  <si>
    <t>01-12-2017</t>
  </si>
  <si>
    <t>01-03-2018</t>
  </si>
  <si>
    <t>01-06-2018</t>
  </si>
  <si>
    <t>01-09-2018</t>
  </si>
  <si>
    <t>01-12-2018</t>
  </si>
  <si>
    <t>01-03-2019</t>
  </si>
  <si>
    <t>01-06-2019</t>
  </si>
  <si>
    <t>01-09-2019</t>
  </si>
  <si>
    <t>01-12-2019</t>
  </si>
  <si>
    <t>01-03-2020</t>
  </si>
  <si>
    <t>01-06-2020</t>
  </si>
  <si>
    <t>01-09-2020</t>
  </si>
  <si>
    <t>01-12-2020</t>
  </si>
  <si>
    <t>01-03-2021</t>
  </si>
  <si>
    <t>01-06-2021</t>
  </si>
  <si>
    <t>01-09-2021</t>
  </si>
  <si>
    <t>01-12-2021</t>
  </si>
  <si>
    <t>01-03-2022</t>
  </si>
  <si>
    <t>01-06-2022</t>
  </si>
  <si>
    <t>01-09-2022</t>
  </si>
  <si>
    <t>01-12-2022</t>
  </si>
  <si>
    <t>01-03-2023</t>
  </si>
  <si>
    <t>Default Rates</t>
  </si>
  <si>
    <t>HPI</t>
  </si>
  <si>
    <t>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</si>
</sst>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.0_ ;_ * \-#,##0.0_ ;_ * &quot;-&quot;??_ ;_ @_ "/>
    <numFmt numFmtId="166" formatCode="0.000000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color theme="1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16" fillId="0" borderId="0" xfId="0" applyFont="1"/>
    <xf numFmtId="10" fontId="0" fillId="0" borderId="0" xfId="43" applyNumberFormat="1" applyFont="1"/>
    <xf numFmtId="164" fontId="0" fillId="0" borderId="0" xfId="42" applyNumberFormat="1" applyFont="1"/>
    <xf numFmtId="43" fontId="0" fillId="0" borderId="0" xfId="42" applyFont="1"/>
    <xf numFmtId="14" fontId="16" fillId="0" borderId="0" xfId="0" applyNumberFormat="1" applyFont="1"/>
    <xf numFmtId="43" fontId="0" fillId="0" borderId="0" xfId="0" applyNumberFormat="1"/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1" xfId="0" applyFont="1" applyBorder="1" applyAlignment="1">
      <alignment horizontal="center" vertical="top"/>
    </xf>
    <xf numFmtId="166" fontId="0" fillId="0" borderId="0" xfId="0" applyNumberFormat="1"/>
    <xf numFmtId="0" fontId="18" fillId="0" borderId="0" xfId="0" applyFont="1" applyAlignment="1">
      <alignment horizontal="centerContinuous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center"/>
    </xf>
    <xf numFmtId="49" fontId="0" fillId="0" borderId="0" xfId="0" applyNumberFormat="1"/>
    <xf numFmtId="0" fontId="16" fillId="0" borderId="10" xfId="0" applyFont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A2D70-1257-4CA3-AC79-F0F2386F5ADF}">
  <sheetPr codeName="Sheet2"/>
  <dimension ref="A1:S2747"/>
  <sheetViews>
    <sheetView zoomScale="85" zoomScaleNormal="85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18.44140625" customWidth="1"/>
    <col min="2" max="2" width="13.21875" customWidth="1"/>
    <col min="3" max="3" width="16.77734375" customWidth="1"/>
    <col min="4" max="4" width="25.21875" customWidth="1"/>
    <col min="5" max="5" width="18.21875" customWidth="1"/>
    <col min="6" max="6" width="11.6640625" customWidth="1"/>
    <col min="7" max="7" width="13.33203125" customWidth="1"/>
    <col min="8" max="8" width="16.5546875" bestFit="1" customWidth="1"/>
    <col min="9" max="9" width="21.77734375" bestFit="1" customWidth="1"/>
    <col min="10" max="10" width="19.5546875" customWidth="1"/>
    <col min="11" max="11" width="15.6640625" customWidth="1"/>
    <col min="12" max="12" width="19.5546875" customWidth="1"/>
    <col min="13" max="13" width="21.6640625" customWidth="1"/>
    <col min="14" max="14" width="13.33203125" customWidth="1"/>
    <col min="15" max="15" width="14.21875" customWidth="1"/>
    <col min="16" max="16" width="13.33203125" bestFit="1" customWidth="1"/>
    <col min="17" max="17" width="8.88671875" customWidth="1"/>
    <col min="18" max="18" width="11.5546875" customWidth="1"/>
  </cols>
  <sheetData>
    <row r="1" spans="1:19" ht="28.8" x14ac:dyDescent="0.3">
      <c r="A1" s="8" t="s">
        <v>0</v>
      </c>
      <c r="B1" s="8" t="s">
        <v>1</v>
      </c>
      <c r="C1" s="8" t="s">
        <v>2</v>
      </c>
      <c r="D1" s="8" t="s">
        <v>1550</v>
      </c>
      <c r="E1" s="8" t="s">
        <v>3</v>
      </c>
      <c r="F1" s="8" t="s">
        <v>4</v>
      </c>
      <c r="G1" s="8" t="s">
        <v>1551</v>
      </c>
      <c r="H1" s="8" t="s">
        <v>1553</v>
      </c>
      <c r="I1" s="8" t="s">
        <v>5</v>
      </c>
      <c r="J1" s="8" t="s">
        <v>6</v>
      </c>
      <c r="K1" s="8" t="s">
        <v>7</v>
      </c>
      <c r="L1" s="8" t="s">
        <v>1556</v>
      </c>
      <c r="M1" s="8" t="s">
        <v>8</v>
      </c>
      <c r="N1" s="8" t="s">
        <v>9</v>
      </c>
      <c r="O1" s="8" t="s">
        <v>10</v>
      </c>
      <c r="P1" s="9" t="s">
        <v>1552</v>
      </c>
      <c r="Q1" s="2"/>
      <c r="R1" s="2"/>
    </row>
    <row r="2" spans="1:19" x14ac:dyDescent="0.3">
      <c r="A2" t="s">
        <v>11</v>
      </c>
      <c r="B2" t="s">
        <v>12</v>
      </c>
      <c r="C2" t="s">
        <v>13</v>
      </c>
      <c r="D2" s="5">
        <v>2730256</v>
      </c>
      <c r="E2">
        <v>1075653.6499999999</v>
      </c>
      <c r="F2" t="s">
        <v>14</v>
      </c>
      <c r="G2">
        <v>180</v>
      </c>
      <c r="H2" s="1">
        <f t="shared" ref="H2:H65" si="0">EOMONTH(J2,G2)</f>
        <v>47391</v>
      </c>
      <c r="I2" t="s">
        <v>15</v>
      </c>
      <c r="J2" s="1">
        <v>41897</v>
      </c>
      <c r="K2" t="s">
        <v>16</v>
      </c>
      <c r="L2" s="3">
        <v>9.9100000000000008E-2</v>
      </c>
      <c r="M2" t="s">
        <v>17</v>
      </c>
      <c r="N2" t="s">
        <v>18</v>
      </c>
      <c r="O2">
        <v>3665558.13</v>
      </c>
      <c r="P2" s="1">
        <v>46022</v>
      </c>
      <c r="R2" s="7"/>
      <c r="S2" s="7"/>
    </row>
    <row r="3" spans="1:19" x14ac:dyDescent="0.3">
      <c r="A3" t="s">
        <v>19</v>
      </c>
      <c r="B3" t="s">
        <v>20</v>
      </c>
      <c r="C3" t="s">
        <v>21</v>
      </c>
      <c r="D3" s="5">
        <v>3741382</v>
      </c>
      <c r="E3">
        <v>2893456.01</v>
      </c>
      <c r="F3" t="s">
        <v>14</v>
      </c>
      <c r="G3">
        <v>240</v>
      </c>
      <c r="H3" s="1">
        <f t="shared" si="0"/>
        <v>47968</v>
      </c>
      <c r="I3" t="s">
        <v>15</v>
      </c>
      <c r="J3" s="1">
        <v>40634</v>
      </c>
      <c r="K3" t="s">
        <v>22</v>
      </c>
      <c r="L3" s="3">
        <v>5.1900000000000002E-2</v>
      </c>
      <c r="M3" t="s">
        <v>17</v>
      </c>
      <c r="N3" t="s">
        <v>18</v>
      </c>
      <c r="O3">
        <v>5472041.6299999999</v>
      </c>
      <c r="P3" s="1">
        <v>46022</v>
      </c>
      <c r="R3" s="7"/>
      <c r="S3" s="7"/>
    </row>
    <row r="4" spans="1:19" x14ac:dyDescent="0.3">
      <c r="A4" t="s">
        <v>23</v>
      </c>
      <c r="B4" t="s">
        <v>24</v>
      </c>
      <c r="C4" t="s">
        <v>25</v>
      </c>
      <c r="D4" s="5">
        <v>282233</v>
      </c>
      <c r="E4">
        <v>233123.64</v>
      </c>
      <c r="F4" t="s">
        <v>14</v>
      </c>
      <c r="G4">
        <v>342</v>
      </c>
      <c r="H4" s="1">
        <f t="shared" si="0"/>
        <v>54939</v>
      </c>
      <c r="I4" t="s">
        <v>15</v>
      </c>
      <c r="J4" s="1">
        <v>44508</v>
      </c>
      <c r="K4" t="s">
        <v>16</v>
      </c>
      <c r="L4" s="3">
        <v>8.5500000000000007E-2</v>
      </c>
      <c r="M4" t="s">
        <v>17</v>
      </c>
      <c r="N4" t="s">
        <v>26</v>
      </c>
      <c r="O4">
        <v>365790.14</v>
      </c>
      <c r="P4" s="1">
        <v>46022</v>
      </c>
      <c r="R4" s="7"/>
      <c r="S4" s="7"/>
    </row>
    <row r="5" spans="1:19" x14ac:dyDescent="0.3">
      <c r="A5" t="s">
        <v>27</v>
      </c>
      <c r="B5" t="s">
        <v>24</v>
      </c>
      <c r="C5" t="s">
        <v>28</v>
      </c>
      <c r="D5" s="5">
        <v>47946</v>
      </c>
      <c r="E5">
        <v>41819.160000000003</v>
      </c>
      <c r="F5" t="s">
        <v>14</v>
      </c>
      <c r="G5">
        <v>222</v>
      </c>
      <c r="H5" s="1">
        <f t="shared" si="0"/>
        <v>51501</v>
      </c>
      <c r="I5" t="s">
        <v>15</v>
      </c>
      <c r="J5" s="1">
        <v>44733</v>
      </c>
      <c r="K5" t="s">
        <v>22</v>
      </c>
      <c r="L5" s="3">
        <v>5.3099999999999994E-2</v>
      </c>
      <c r="M5" t="s">
        <v>29</v>
      </c>
      <c r="N5" t="s">
        <v>30</v>
      </c>
      <c r="O5">
        <v>0</v>
      </c>
      <c r="P5" s="1">
        <v>46022</v>
      </c>
      <c r="R5" s="7"/>
      <c r="S5" s="7"/>
    </row>
    <row r="6" spans="1:19" x14ac:dyDescent="0.3">
      <c r="A6" t="s">
        <v>31</v>
      </c>
      <c r="B6" t="s">
        <v>24</v>
      </c>
      <c r="C6" t="s">
        <v>32</v>
      </c>
      <c r="D6" s="5">
        <v>19029</v>
      </c>
      <c r="E6">
        <v>18988.48</v>
      </c>
      <c r="F6" t="s">
        <v>33</v>
      </c>
      <c r="G6">
        <v>240</v>
      </c>
      <c r="H6" s="1">
        <f t="shared" si="0"/>
        <v>50040</v>
      </c>
      <c r="I6" t="s">
        <v>15</v>
      </c>
      <c r="J6" s="1">
        <v>42713</v>
      </c>
      <c r="K6" t="s">
        <v>22</v>
      </c>
      <c r="L6" s="3">
        <v>4.2099999999999999E-2</v>
      </c>
      <c r="M6" t="s">
        <v>29</v>
      </c>
      <c r="N6" t="s">
        <v>30</v>
      </c>
      <c r="O6">
        <v>0</v>
      </c>
      <c r="P6" s="1">
        <v>46022</v>
      </c>
      <c r="R6" s="7"/>
      <c r="S6" s="7"/>
    </row>
    <row r="7" spans="1:19" x14ac:dyDescent="0.3">
      <c r="A7" t="s">
        <v>34</v>
      </c>
      <c r="B7" t="s">
        <v>24</v>
      </c>
      <c r="C7" t="s">
        <v>28</v>
      </c>
      <c r="D7" s="5">
        <v>17020</v>
      </c>
      <c r="E7">
        <v>5401.13</v>
      </c>
      <c r="F7" t="s">
        <v>14</v>
      </c>
      <c r="G7">
        <v>288</v>
      </c>
      <c r="H7" s="1">
        <f t="shared" si="0"/>
        <v>49368</v>
      </c>
      <c r="I7" t="s">
        <v>15</v>
      </c>
      <c r="J7" s="1">
        <v>40578</v>
      </c>
      <c r="K7" t="s">
        <v>35</v>
      </c>
      <c r="L7" s="3">
        <v>4.7800000000000002E-2</v>
      </c>
      <c r="M7" t="s">
        <v>29</v>
      </c>
      <c r="N7" t="s">
        <v>30</v>
      </c>
      <c r="O7">
        <v>0</v>
      </c>
      <c r="P7" s="1">
        <v>46022</v>
      </c>
      <c r="R7" s="7"/>
      <c r="S7" s="7"/>
    </row>
    <row r="8" spans="1:19" x14ac:dyDescent="0.3">
      <c r="A8" t="s">
        <v>36</v>
      </c>
      <c r="B8" t="s">
        <v>37</v>
      </c>
      <c r="C8" t="s">
        <v>38</v>
      </c>
      <c r="D8" s="5">
        <v>82955145</v>
      </c>
      <c r="E8">
        <v>11308092.279999999</v>
      </c>
      <c r="F8" t="s">
        <v>33</v>
      </c>
      <c r="G8">
        <v>324</v>
      </c>
      <c r="H8" s="1">
        <f t="shared" si="0"/>
        <v>54362</v>
      </c>
      <c r="I8" t="s">
        <v>15</v>
      </c>
      <c r="J8" s="1">
        <v>44496</v>
      </c>
      <c r="K8" t="s">
        <v>39</v>
      </c>
      <c r="L8" s="3">
        <v>7.2700000000000001E-2</v>
      </c>
      <c r="M8" t="s">
        <v>17</v>
      </c>
      <c r="N8" t="s">
        <v>18</v>
      </c>
      <c r="O8">
        <v>105350559</v>
      </c>
      <c r="P8" s="1">
        <v>46022</v>
      </c>
      <c r="R8" s="7"/>
      <c r="S8" s="7"/>
    </row>
    <row r="9" spans="1:19" x14ac:dyDescent="0.3">
      <c r="A9" t="s">
        <v>40</v>
      </c>
      <c r="B9" t="s">
        <v>24</v>
      </c>
      <c r="C9" t="s">
        <v>41</v>
      </c>
      <c r="D9" s="5">
        <v>37504</v>
      </c>
      <c r="E9">
        <v>17629.77</v>
      </c>
      <c r="F9" t="s">
        <v>14</v>
      </c>
      <c r="G9">
        <v>210</v>
      </c>
      <c r="H9" s="1">
        <f t="shared" si="0"/>
        <v>48944</v>
      </c>
      <c r="I9" t="s">
        <v>15</v>
      </c>
      <c r="J9" s="1">
        <v>42527</v>
      </c>
      <c r="K9" t="s">
        <v>35</v>
      </c>
      <c r="L9" s="3">
        <v>3.39E-2</v>
      </c>
      <c r="M9" t="s">
        <v>17</v>
      </c>
      <c r="N9" t="s">
        <v>42</v>
      </c>
      <c r="O9">
        <v>38154.89</v>
      </c>
      <c r="P9" s="1">
        <v>46022</v>
      </c>
      <c r="R9" s="7"/>
      <c r="S9" s="7"/>
    </row>
    <row r="10" spans="1:19" x14ac:dyDescent="0.3">
      <c r="A10" t="s">
        <v>43</v>
      </c>
      <c r="B10" t="s">
        <v>12</v>
      </c>
      <c r="C10" t="s">
        <v>26</v>
      </c>
      <c r="D10" s="5">
        <v>43955887</v>
      </c>
      <c r="E10">
        <v>9541618.8699999992</v>
      </c>
      <c r="F10" t="s">
        <v>33</v>
      </c>
      <c r="G10">
        <v>186</v>
      </c>
      <c r="H10" s="1">
        <f t="shared" si="0"/>
        <v>48304</v>
      </c>
      <c r="I10" t="s">
        <v>15</v>
      </c>
      <c r="J10" s="1">
        <v>42643</v>
      </c>
      <c r="K10" t="s">
        <v>16</v>
      </c>
      <c r="L10" s="3">
        <v>9.0700000000000003E-2</v>
      </c>
      <c r="M10" t="s">
        <v>17</v>
      </c>
      <c r="N10" t="s">
        <v>42</v>
      </c>
      <c r="O10">
        <v>85648669.430000007</v>
      </c>
      <c r="P10" s="1">
        <v>46022</v>
      </c>
      <c r="R10" s="7"/>
      <c r="S10" s="7"/>
    </row>
    <row r="11" spans="1:19" x14ac:dyDescent="0.3">
      <c r="A11" t="s">
        <v>44</v>
      </c>
      <c r="B11" t="s">
        <v>24</v>
      </c>
      <c r="C11" t="s">
        <v>28</v>
      </c>
      <c r="D11" s="5">
        <v>49820</v>
      </c>
      <c r="E11">
        <v>5987.58</v>
      </c>
      <c r="F11" t="s">
        <v>33</v>
      </c>
      <c r="G11">
        <v>336</v>
      </c>
      <c r="H11" s="1">
        <f t="shared" si="0"/>
        <v>51744</v>
      </c>
      <c r="I11" t="s">
        <v>15</v>
      </c>
      <c r="J11" s="1">
        <v>41491</v>
      </c>
      <c r="K11" t="s">
        <v>16</v>
      </c>
      <c r="L11" s="3">
        <v>9.6300000000000011E-2</v>
      </c>
      <c r="M11" t="s">
        <v>29</v>
      </c>
      <c r="N11" t="s">
        <v>30</v>
      </c>
      <c r="O11">
        <v>0</v>
      </c>
      <c r="P11" s="1">
        <v>46022</v>
      </c>
      <c r="R11" s="7"/>
      <c r="S11" s="7"/>
    </row>
    <row r="12" spans="1:19" x14ac:dyDescent="0.3">
      <c r="A12" t="s">
        <v>45</v>
      </c>
      <c r="B12" t="s">
        <v>24</v>
      </c>
      <c r="C12" t="s">
        <v>25</v>
      </c>
      <c r="D12" s="5">
        <v>431479</v>
      </c>
      <c r="E12">
        <v>183112.67</v>
      </c>
      <c r="F12" t="s">
        <v>14</v>
      </c>
      <c r="G12">
        <v>264</v>
      </c>
      <c r="H12" s="1">
        <f t="shared" si="0"/>
        <v>49278</v>
      </c>
      <c r="I12" t="s">
        <v>15</v>
      </c>
      <c r="J12" s="1">
        <v>41239</v>
      </c>
      <c r="K12" t="s">
        <v>16</v>
      </c>
      <c r="L12" s="3">
        <v>8.4700000000000011E-2</v>
      </c>
      <c r="M12" t="s">
        <v>17</v>
      </c>
      <c r="N12" t="s">
        <v>26</v>
      </c>
      <c r="O12">
        <v>547923.73</v>
      </c>
      <c r="P12" s="1">
        <v>46022</v>
      </c>
      <c r="R12" s="7"/>
      <c r="S12" s="7"/>
    </row>
    <row r="13" spans="1:19" x14ac:dyDescent="0.3">
      <c r="A13" t="s">
        <v>46</v>
      </c>
      <c r="B13" t="s">
        <v>20</v>
      </c>
      <c r="C13" t="s">
        <v>47</v>
      </c>
      <c r="D13" s="5">
        <v>2270623</v>
      </c>
      <c r="E13">
        <v>1828678.68</v>
      </c>
      <c r="F13" t="s">
        <v>48</v>
      </c>
      <c r="G13">
        <v>150</v>
      </c>
      <c r="H13" s="1">
        <f t="shared" si="0"/>
        <v>46752</v>
      </c>
      <c r="I13" t="s">
        <v>15</v>
      </c>
      <c r="J13" s="1">
        <v>42185</v>
      </c>
      <c r="K13" t="s">
        <v>22</v>
      </c>
      <c r="L13" s="3">
        <v>0.05</v>
      </c>
      <c r="M13" t="s">
        <v>29</v>
      </c>
      <c r="N13" t="s">
        <v>30</v>
      </c>
      <c r="O13">
        <v>0</v>
      </c>
      <c r="P13" s="1">
        <v>46022</v>
      </c>
      <c r="R13" s="7"/>
      <c r="S13" s="7"/>
    </row>
    <row r="14" spans="1:19" x14ac:dyDescent="0.3">
      <c r="A14" t="s">
        <v>49</v>
      </c>
      <c r="B14" t="s">
        <v>24</v>
      </c>
      <c r="C14" t="s">
        <v>25</v>
      </c>
      <c r="D14" s="5">
        <v>749864</v>
      </c>
      <c r="E14">
        <v>457088.97</v>
      </c>
      <c r="F14" t="s">
        <v>14</v>
      </c>
      <c r="G14">
        <v>240</v>
      </c>
      <c r="H14" s="1">
        <f t="shared" si="0"/>
        <v>50890</v>
      </c>
      <c r="I14" t="s">
        <v>15</v>
      </c>
      <c r="J14" s="1">
        <v>43557</v>
      </c>
      <c r="K14" t="s">
        <v>39</v>
      </c>
      <c r="L14" s="3">
        <v>6.7599999999999993E-2</v>
      </c>
      <c r="M14" t="s">
        <v>17</v>
      </c>
      <c r="N14" t="s">
        <v>26</v>
      </c>
      <c r="O14">
        <v>1038276.08</v>
      </c>
      <c r="P14" s="1">
        <v>46022</v>
      </c>
      <c r="R14" s="7"/>
      <c r="S14" s="7"/>
    </row>
    <row r="15" spans="1:19" x14ac:dyDescent="0.3">
      <c r="A15" t="s">
        <v>50</v>
      </c>
      <c r="B15" t="s">
        <v>20</v>
      </c>
      <c r="C15" t="s">
        <v>51</v>
      </c>
      <c r="D15" s="5">
        <v>4436669</v>
      </c>
      <c r="E15">
        <v>1692590.11</v>
      </c>
      <c r="F15" t="s">
        <v>14</v>
      </c>
      <c r="G15">
        <v>78</v>
      </c>
      <c r="H15" s="1">
        <f t="shared" si="0"/>
        <v>45138</v>
      </c>
      <c r="I15" t="s">
        <v>15</v>
      </c>
      <c r="J15" s="1">
        <v>42758</v>
      </c>
      <c r="K15" t="s">
        <v>39</v>
      </c>
      <c r="L15" s="3">
        <v>7.1800000000000003E-2</v>
      </c>
      <c r="M15" t="s">
        <v>17</v>
      </c>
      <c r="N15" t="s">
        <v>42</v>
      </c>
      <c r="O15">
        <v>5497178.9199999999</v>
      </c>
      <c r="P15" s="1">
        <v>46022</v>
      </c>
      <c r="R15" s="7"/>
      <c r="S15" s="7"/>
    </row>
    <row r="16" spans="1:19" x14ac:dyDescent="0.3">
      <c r="A16" t="s">
        <v>52</v>
      </c>
      <c r="B16" t="s">
        <v>24</v>
      </c>
      <c r="C16" t="s">
        <v>28</v>
      </c>
      <c r="D16" s="5">
        <v>30059</v>
      </c>
      <c r="E16">
        <v>20708</v>
      </c>
      <c r="F16" t="s">
        <v>14</v>
      </c>
      <c r="G16">
        <v>240</v>
      </c>
      <c r="H16" s="1">
        <f t="shared" si="0"/>
        <v>48975</v>
      </c>
      <c r="I16" t="s">
        <v>15</v>
      </c>
      <c r="J16" s="1">
        <v>41659</v>
      </c>
      <c r="K16" t="s">
        <v>35</v>
      </c>
      <c r="L16" s="3">
        <v>3.9900000000000005E-2</v>
      </c>
      <c r="M16" t="s">
        <v>29</v>
      </c>
      <c r="N16" t="s">
        <v>30</v>
      </c>
      <c r="O16">
        <v>0</v>
      </c>
      <c r="P16" s="1">
        <v>46022</v>
      </c>
      <c r="R16" s="7"/>
      <c r="S16" s="7"/>
    </row>
    <row r="17" spans="1:19" x14ac:dyDescent="0.3">
      <c r="A17" t="s">
        <v>53</v>
      </c>
      <c r="B17" t="s">
        <v>12</v>
      </c>
      <c r="C17" t="s">
        <v>13</v>
      </c>
      <c r="D17" s="5">
        <v>20184759</v>
      </c>
      <c r="E17">
        <v>6233383.9100000001</v>
      </c>
      <c r="F17" t="s">
        <v>33</v>
      </c>
      <c r="G17">
        <v>276</v>
      </c>
      <c r="H17" s="1">
        <f t="shared" si="0"/>
        <v>51135</v>
      </c>
      <c r="I17" t="s">
        <v>15</v>
      </c>
      <c r="J17" s="1">
        <v>42719</v>
      </c>
      <c r="K17" t="s">
        <v>39</v>
      </c>
      <c r="L17" s="3">
        <v>6.3399999999999998E-2</v>
      </c>
      <c r="M17" t="s">
        <v>17</v>
      </c>
      <c r="N17" t="s">
        <v>54</v>
      </c>
      <c r="O17">
        <v>24829972.52</v>
      </c>
      <c r="P17" s="1">
        <v>46022</v>
      </c>
      <c r="R17" s="7"/>
      <c r="S17" s="7"/>
    </row>
    <row r="18" spans="1:19" x14ac:dyDescent="0.3">
      <c r="A18" t="s">
        <v>55</v>
      </c>
      <c r="B18" t="s">
        <v>20</v>
      </c>
      <c r="C18" t="s">
        <v>51</v>
      </c>
      <c r="D18" s="5">
        <v>2092478</v>
      </c>
      <c r="E18">
        <v>236331.39</v>
      </c>
      <c r="F18" t="s">
        <v>48</v>
      </c>
      <c r="G18">
        <v>84</v>
      </c>
      <c r="H18" s="1">
        <f t="shared" si="0"/>
        <v>45443</v>
      </c>
      <c r="I18" t="s">
        <v>15</v>
      </c>
      <c r="J18" s="1">
        <v>42857</v>
      </c>
      <c r="K18" t="s">
        <v>56</v>
      </c>
      <c r="L18" s="3">
        <v>3.7200000000000004E-2</v>
      </c>
      <c r="M18" t="s">
        <v>17</v>
      </c>
      <c r="N18" t="s">
        <v>26</v>
      </c>
      <c r="O18">
        <v>3688743.13</v>
      </c>
      <c r="P18" s="1">
        <v>46022</v>
      </c>
      <c r="R18" s="7"/>
      <c r="S18" s="7"/>
    </row>
    <row r="19" spans="1:19" x14ac:dyDescent="0.3">
      <c r="A19" t="s">
        <v>57</v>
      </c>
      <c r="B19" t="s">
        <v>24</v>
      </c>
      <c r="C19" t="s">
        <v>41</v>
      </c>
      <c r="D19" s="5">
        <v>726060</v>
      </c>
      <c r="E19">
        <v>57207.29</v>
      </c>
      <c r="F19" t="s">
        <v>14</v>
      </c>
      <c r="G19">
        <v>78</v>
      </c>
      <c r="H19" s="1">
        <f t="shared" si="0"/>
        <v>47087</v>
      </c>
      <c r="I19" t="s">
        <v>15</v>
      </c>
      <c r="J19" s="1">
        <v>44709</v>
      </c>
      <c r="K19" t="s">
        <v>22</v>
      </c>
      <c r="L19" s="3">
        <v>6.0999999999999999E-2</v>
      </c>
      <c r="M19" t="s">
        <v>17</v>
      </c>
      <c r="N19" t="s">
        <v>42</v>
      </c>
      <c r="O19">
        <v>88830.57</v>
      </c>
      <c r="P19" s="1">
        <v>46022</v>
      </c>
      <c r="R19" s="7"/>
      <c r="S19" s="7"/>
    </row>
    <row r="20" spans="1:19" x14ac:dyDescent="0.3">
      <c r="A20" t="s">
        <v>58</v>
      </c>
      <c r="B20" t="s">
        <v>24</v>
      </c>
      <c r="C20" t="s">
        <v>32</v>
      </c>
      <c r="D20" s="5">
        <v>115800</v>
      </c>
      <c r="E20">
        <v>765.66</v>
      </c>
      <c r="F20" t="s">
        <v>33</v>
      </c>
      <c r="G20">
        <v>162</v>
      </c>
      <c r="H20" s="1">
        <f t="shared" si="0"/>
        <v>47238</v>
      </c>
      <c r="I20" t="s">
        <v>15</v>
      </c>
      <c r="J20" s="1">
        <v>42285</v>
      </c>
      <c r="K20" t="s">
        <v>35</v>
      </c>
      <c r="L20" s="3">
        <v>3.5499999999999997E-2</v>
      </c>
      <c r="M20" t="s">
        <v>29</v>
      </c>
      <c r="N20" t="s">
        <v>30</v>
      </c>
      <c r="O20">
        <v>0</v>
      </c>
      <c r="P20" s="1">
        <v>46022</v>
      </c>
      <c r="R20" s="7"/>
      <c r="S20" s="7"/>
    </row>
    <row r="21" spans="1:19" x14ac:dyDescent="0.3">
      <c r="A21" t="s">
        <v>59</v>
      </c>
      <c r="B21" t="s">
        <v>24</v>
      </c>
      <c r="C21" t="s">
        <v>25</v>
      </c>
      <c r="D21" s="5">
        <v>657630</v>
      </c>
      <c r="E21">
        <v>516945.08</v>
      </c>
      <c r="F21" t="s">
        <v>14</v>
      </c>
      <c r="G21">
        <v>360</v>
      </c>
      <c r="H21" s="1">
        <f t="shared" si="0"/>
        <v>53235</v>
      </c>
      <c r="I21" t="s">
        <v>15</v>
      </c>
      <c r="J21" s="1">
        <v>42276</v>
      </c>
      <c r="K21" t="s">
        <v>35</v>
      </c>
      <c r="L21" s="3">
        <v>3.3700000000000001E-2</v>
      </c>
      <c r="M21" t="s">
        <v>17</v>
      </c>
      <c r="N21" t="s">
        <v>26</v>
      </c>
      <c r="O21">
        <v>876197.5</v>
      </c>
      <c r="P21" s="1">
        <v>46022</v>
      </c>
      <c r="R21" s="7"/>
      <c r="S21" s="7"/>
    </row>
    <row r="22" spans="1:19" x14ac:dyDescent="0.3">
      <c r="A22" t="s">
        <v>60</v>
      </c>
      <c r="B22" t="s">
        <v>12</v>
      </c>
      <c r="C22" t="s">
        <v>61</v>
      </c>
      <c r="D22" s="5">
        <v>18419158</v>
      </c>
      <c r="E22">
        <v>2487400.67</v>
      </c>
      <c r="F22" t="s">
        <v>14</v>
      </c>
      <c r="G22">
        <v>102</v>
      </c>
      <c r="H22" s="1">
        <f t="shared" si="0"/>
        <v>45351</v>
      </c>
      <c r="I22" t="s">
        <v>15</v>
      </c>
      <c r="J22" s="1">
        <v>42237</v>
      </c>
      <c r="K22" t="s">
        <v>22</v>
      </c>
      <c r="L22" s="3">
        <v>4.4900000000000002E-2</v>
      </c>
      <c r="M22" t="s">
        <v>29</v>
      </c>
      <c r="N22" t="s">
        <v>30</v>
      </c>
      <c r="O22">
        <v>0</v>
      </c>
      <c r="P22" s="1">
        <v>46022</v>
      </c>
      <c r="R22" s="7"/>
      <c r="S22" s="7"/>
    </row>
    <row r="23" spans="1:19" x14ac:dyDescent="0.3">
      <c r="A23" t="s">
        <v>62</v>
      </c>
      <c r="B23" t="s">
        <v>12</v>
      </c>
      <c r="C23" t="s">
        <v>63</v>
      </c>
      <c r="D23" s="5">
        <v>39915669</v>
      </c>
      <c r="E23">
        <v>34064338.079999998</v>
      </c>
      <c r="F23" t="s">
        <v>33</v>
      </c>
      <c r="G23">
        <v>216</v>
      </c>
      <c r="H23" s="1">
        <f t="shared" si="0"/>
        <v>47848</v>
      </c>
      <c r="I23" t="s">
        <v>15</v>
      </c>
      <c r="J23" s="1">
        <v>41263</v>
      </c>
      <c r="K23" t="s">
        <v>22</v>
      </c>
      <c r="L23" s="3">
        <v>4.1900000000000007E-2</v>
      </c>
      <c r="M23" t="s">
        <v>17</v>
      </c>
      <c r="N23" t="s">
        <v>42</v>
      </c>
      <c r="O23">
        <v>60962854.600000001</v>
      </c>
      <c r="P23" s="1">
        <v>46022</v>
      </c>
      <c r="R23" s="7"/>
      <c r="S23" s="7"/>
    </row>
    <row r="24" spans="1:19" x14ac:dyDescent="0.3">
      <c r="A24" t="s">
        <v>64</v>
      </c>
      <c r="B24" t="s">
        <v>12</v>
      </c>
      <c r="C24" t="s">
        <v>63</v>
      </c>
      <c r="D24" s="5">
        <v>5556541</v>
      </c>
      <c r="E24">
        <v>3653834.79</v>
      </c>
      <c r="F24" t="s">
        <v>14</v>
      </c>
      <c r="G24">
        <v>240</v>
      </c>
      <c r="H24" s="1">
        <f t="shared" si="0"/>
        <v>51409</v>
      </c>
      <c r="I24" t="s">
        <v>15</v>
      </c>
      <c r="J24" s="1">
        <v>44090</v>
      </c>
      <c r="K24" t="s">
        <v>39</v>
      </c>
      <c r="L24" s="3">
        <v>5.0900000000000001E-2</v>
      </c>
      <c r="M24" t="s">
        <v>29</v>
      </c>
      <c r="N24" t="s">
        <v>30</v>
      </c>
      <c r="O24">
        <v>0</v>
      </c>
      <c r="P24" s="1">
        <v>46022</v>
      </c>
      <c r="R24" s="7"/>
      <c r="S24" s="7"/>
    </row>
    <row r="25" spans="1:19" x14ac:dyDescent="0.3">
      <c r="A25" t="s">
        <v>65</v>
      </c>
      <c r="B25" t="s">
        <v>12</v>
      </c>
      <c r="C25" t="s">
        <v>61</v>
      </c>
      <c r="D25" s="5">
        <v>29821911</v>
      </c>
      <c r="E25">
        <v>18103564.550000001</v>
      </c>
      <c r="F25" t="s">
        <v>14</v>
      </c>
      <c r="G25">
        <v>294</v>
      </c>
      <c r="H25" s="1">
        <f t="shared" si="0"/>
        <v>54574</v>
      </c>
      <c r="I25" t="s">
        <v>15</v>
      </c>
      <c r="J25" s="1">
        <v>45621</v>
      </c>
      <c r="K25" t="s">
        <v>56</v>
      </c>
      <c r="L25" s="3">
        <v>5.2699999999999997E-2</v>
      </c>
      <c r="M25" t="s">
        <v>17</v>
      </c>
      <c r="N25" t="s">
        <v>42</v>
      </c>
      <c r="O25">
        <v>58772771.219999999</v>
      </c>
      <c r="P25" s="1">
        <v>46022</v>
      </c>
      <c r="R25" s="7"/>
      <c r="S25" s="7"/>
    </row>
    <row r="26" spans="1:19" x14ac:dyDescent="0.3">
      <c r="A26" t="s">
        <v>66</v>
      </c>
      <c r="B26" t="s">
        <v>20</v>
      </c>
      <c r="C26" t="s">
        <v>51</v>
      </c>
      <c r="D26" s="5">
        <v>2430816</v>
      </c>
      <c r="E26">
        <v>1609571.11</v>
      </c>
      <c r="F26" t="s">
        <v>33</v>
      </c>
      <c r="G26">
        <v>210</v>
      </c>
      <c r="H26" s="1">
        <f t="shared" si="0"/>
        <v>51805</v>
      </c>
      <c r="I26" t="s">
        <v>15</v>
      </c>
      <c r="J26" s="1">
        <v>45400</v>
      </c>
      <c r="K26" t="s">
        <v>22</v>
      </c>
      <c r="L26" s="3">
        <v>7.3599999999999999E-2</v>
      </c>
      <c r="M26" t="s">
        <v>29</v>
      </c>
      <c r="N26" t="s">
        <v>30</v>
      </c>
      <c r="O26">
        <v>0</v>
      </c>
      <c r="P26" s="1">
        <v>46022</v>
      </c>
      <c r="R26" s="7"/>
      <c r="S26" s="7"/>
    </row>
    <row r="27" spans="1:19" x14ac:dyDescent="0.3">
      <c r="A27" t="s">
        <v>67</v>
      </c>
      <c r="B27" t="s">
        <v>24</v>
      </c>
      <c r="C27" t="s">
        <v>25</v>
      </c>
      <c r="D27" s="5">
        <v>678093</v>
      </c>
      <c r="E27">
        <v>595358.79</v>
      </c>
      <c r="F27" t="s">
        <v>14</v>
      </c>
      <c r="G27">
        <v>102</v>
      </c>
      <c r="H27" s="1">
        <f t="shared" si="0"/>
        <v>47269</v>
      </c>
      <c r="I27" t="s">
        <v>15</v>
      </c>
      <c r="J27" s="1">
        <v>44158</v>
      </c>
      <c r="K27" t="s">
        <v>35</v>
      </c>
      <c r="L27" s="3">
        <v>1.8700000000000001E-2</v>
      </c>
      <c r="M27" t="s">
        <v>17</v>
      </c>
      <c r="N27" t="s">
        <v>26</v>
      </c>
      <c r="O27">
        <v>839380.97</v>
      </c>
      <c r="P27" s="1">
        <v>46022</v>
      </c>
      <c r="R27" s="7"/>
      <c r="S27" s="7"/>
    </row>
    <row r="28" spans="1:19" x14ac:dyDescent="0.3">
      <c r="A28" t="s">
        <v>68</v>
      </c>
      <c r="B28" t="s">
        <v>20</v>
      </c>
      <c r="C28" t="s">
        <v>47</v>
      </c>
      <c r="D28" s="5">
        <v>371025</v>
      </c>
      <c r="E28">
        <v>233093.99</v>
      </c>
      <c r="F28" t="s">
        <v>33</v>
      </c>
      <c r="G28">
        <v>246</v>
      </c>
      <c r="H28" s="1">
        <f t="shared" si="0"/>
        <v>50464</v>
      </c>
      <c r="I28" t="s">
        <v>15</v>
      </c>
      <c r="J28" s="1">
        <v>42951</v>
      </c>
      <c r="K28" t="s">
        <v>22</v>
      </c>
      <c r="L28" s="3">
        <v>4.9800000000000004E-2</v>
      </c>
      <c r="M28" t="s">
        <v>17</v>
      </c>
      <c r="N28" t="s">
        <v>42</v>
      </c>
      <c r="O28">
        <v>519418.51</v>
      </c>
      <c r="P28" s="1">
        <v>46022</v>
      </c>
      <c r="R28" s="7"/>
      <c r="S28" s="7"/>
    </row>
    <row r="29" spans="1:19" x14ac:dyDescent="0.3">
      <c r="A29" t="s">
        <v>69</v>
      </c>
      <c r="B29" t="s">
        <v>20</v>
      </c>
      <c r="C29" t="s">
        <v>51</v>
      </c>
      <c r="D29" s="5">
        <v>2920920</v>
      </c>
      <c r="E29">
        <v>1819310.47</v>
      </c>
      <c r="F29" t="s">
        <v>14</v>
      </c>
      <c r="G29">
        <v>120</v>
      </c>
      <c r="H29" s="1">
        <f t="shared" si="0"/>
        <v>46721</v>
      </c>
      <c r="I29" t="s">
        <v>15</v>
      </c>
      <c r="J29" s="1">
        <v>43047</v>
      </c>
      <c r="K29" t="s">
        <v>39</v>
      </c>
      <c r="L29" s="3">
        <v>6.4699999999999994E-2</v>
      </c>
      <c r="M29" t="s">
        <v>17</v>
      </c>
      <c r="N29" t="s">
        <v>42</v>
      </c>
      <c r="O29">
        <v>5594740.6399999997</v>
      </c>
      <c r="P29" s="1">
        <v>46022</v>
      </c>
      <c r="R29" s="7"/>
      <c r="S29" s="7"/>
    </row>
    <row r="30" spans="1:19" x14ac:dyDescent="0.3">
      <c r="A30" t="s">
        <v>71</v>
      </c>
      <c r="B30" t="s">
        <v>12</v>
      </c>
      <c r="C30" t="s">
        <v>13</v>
      </c>
      <c r="D30" s="5">
        <v>28512745</v>
      </c>
      <c r="E30">
        <v>28273558.280000001</v>
      </c>
      <c r="F30" t="s">
        <v>14</v>
      </c>
      <c r="G30">
        <v>342</v>
      </c>
      <c r="H30" s="1">
        <f t="shared" si="0"/>
        <v>55273</v>
      </c>
      <c r="I30" t="s">
        <v>15</v>
      </c>
      <c r="J30" s="1">
        <v>44838</v>
      </c>
      <c r="K30" t="s">
        <v>22</v>
      </c>
      <c r="L30" s="3">
        <v>5.2400000000000002E-2</v>
      </c>
      <c r="M30" t="s">
        <v>29</v>
      </c>
      <c r="N30" t="s">
        <v>30</v>
      </c>
      <c r="O30">
        <v>0</v>
      </c>
      <c r="P30" s="1">
        <v>46022</v>
      </c>
      <c r="R30" s="7"/>
      <c r="S30" s="7"/>
    </row>
    <row r="31" spans="1:19" x14ac:dyDescent="0.3">
      <c r="A31" t="s">
        <v>72</v>
      </c>
      <c r="B31" t="s">
        <v>12</v>
      </c>
      <c r="C31" t="s">
        <v>61</v>
      </c>
      <c r="D31" s="5">
        <v>28472345</v>
      </c>
      <c r="E31">
        <v>22238528.359999999</v>
      </c>
      <c r="F31" t="s">
        <v>33</v>
      </c>
      <c r="G31">
        <v>240</v>
      </c>
      <c r="H31" s="1">
        <f t="shared" si="0"/>
        <v>48029</v>
      </c>
      <c r="I31" t="s">
        <v>15</v>
      </c>
      <c r="J31" s="1">
        <v>40711</v>
      </c>
      <c r="K31" t="s">
        <v>39</v>
      </c>
      <c r="L31" s="3">
        <v>7.1599999999999997E-2</v>
      </c>
      <c r="M31" t="s">
        <v>17</v>
      </c>
      <c r="N31" t="s">
        <v>54</v>
      </c>
      <c r="O31">
        <v>51163615.57</v>
      </c>
      <c r="P31" s="1">
        <v>46022</v>
      </c>
      <c r="R31" s="7"/>
      <c r="S31" s="7"/>
    </row>
    <row r="32" spans="1:19" x14ac:dyDescent="0.3">
      <c r="A32" t="s">
        <v>73</v>
      </c>
      <c r="B32" t="s">
        <v>37</v>
      </c>
      <c r="C32" t="s">
        <v>74</v>
      </c>
      <c r="D32" s="5">
        <v>305708957</v>
      </c>
      <c r="E32">
        <v>152262755.69999999</v>
      </c>
      <c r="F32" t="s">
        <v>14</v>
      </c>
      <c r="G32">
        <v>312</v>
      </c>
      <c r="H32" s="1">
        <f t="shared" si="0"/>
        <v>54362</v>
      </c>
      <c r="I32" t="s">
        <v>15</v>
      </c>
      <c r="J32" s="1">
        <v>44839</v>
      </c>
      <c r="K32" t="s">
        <v>22</v>
      </c>
      <c r="L32" s="3">
        <v>5.1699999999999996E-2</v>
      </c>
      <c r="M32" t="s">
        <v>17</v>
      </c>
      <c r="N32" t="s">
        <v>26</v>
      </c>
      <c r="O32">
        <v>362858245.60000002</v>
      </c>
      <c r="P32" s="1">
        <v>46022</v>
      </c>
      <c r="R32" s="7"/>
      <c r="S32" s="7"/>
    </row>
    <row r="33" spans="1:19" x14ac:dyDescent="0.3">
      <c r="A33" t="s">
        <v>75</v>
      </c>
      <c r="B33" t="s">
        <v>24</v>
      </c>
      <c r="C33" t="s">
        <v>25</v>
      </c>
      <c r="D33" s="5">
        <v>708821</v>
      </c>
      <c r="E33">
        <v>522158.27</v>
      </c>
      <c r="F33" t="s">
        <v>14</v>
      </c>
      <c r="G33">
        <v>60</v>
      </c>
      <c r="H33" s="1">
        <f t="shared" si="0"/>
        <v>46721</v>
      </c>
      <c r="I33" t="s">
        <v>15</v>
      </c>
      <c r="J33" s="1">
        <v>44890</v>
      </c>
      <c r="K33" t="s">
        <v>39</v>
      </c>
      <c r="L33" s="3">
        <v>7.6700000000000004E-2</v>
      </c>
      <c r="M33" t="s">
        <v>17</v>
      </c>
      <c r="N33" t="s">
        <v>26</v>
      </c>
      <c r="O33">
        <v>839023.95</v>
      </c>
      <c r="P33" s="1">
        <v>46022</v>
      </c>
      <c r="R33" s="7"/>
      <c r="S33" s="7"/>
    </row>
    <row r="34" spans="1:19" x14ac:dyDescent="0.3">
      <c r="A34" t="s">
        <v>76</v>
      </c>
      <c r="B34" t="s">
        <v>12</v>
      </c>
      <c r="C34" t="s">
        <v>63</v>
      </c>
      <c r="D34" s="5">
        <v>40444461</v>
      </c>
      <c r="E34">
        <v>18212441.059999999</v>
      </c>
      <c r="F34" t="s">
        <v>14</v>
      </c>
      <c r="G34">
        <v>312</v>
      </c>
      <c r="H34" s="1">
        <f t="shared" si="0"/>
        <v>50709</v>
      </c>
      <c r="I34" t="s">
        <v>15</v>
      </c>
      <c r="J34" s="1">
        <v>41184</v>
      </c>
      <c r="K34" t="s">
        <v>22</v>
      </c>
      <c r="L34" s="3">
        <v>4.6900000000000004E-2</v>
      </c>
      <c r="M34" t="s">
        <v>17</v>
      </c>
      <c r="N34" t="s">
        <v>54</v>
      </c>
      <c r="O34">
        <v>53762101.82</v>
      </c>
      <c r="P34" s="1">
        <v>46022</v>
      </c>
      <c r="R34" s="7"/>
      <c r="S34" s="7"/>
    </row>
    <row r="35" spans="1:19" x14ac:dyDescent="0.3">
      <c r="A35" t="s">
        <v>77</v>
      </c>
      <c r="B35" t="s">
        <v>37</v>
      </c>
      <c r="C35" t="s">
        <v>78</v>
      </c>
      <c r="D35" s="5">
        <v>142212153</v>
      </c>
      <c r="E35">
        <v>43515200.32</v>
      </c>
      <c r="F35" t="s">
        <v>33</v>
      </c>
      <c r="G35">
        <v>168</v>
      </c>
      <c r="H35" s="1">
        <f t="shared" si="0"/>
        <v>50160</v>
      </c>
      <c r="I35" t="s">
        <v>15</v>
      </c>
      <c r="J35" s="1">
        <v>45043</v>
      </c>
      <c r="K35" t="s">
        <v>22</v>
      </c>
      <c r="L35" s="3">
        <v>7.22E-2</v>
      </c>
      <c r="M35" t="s">
        <v>29</v>
      </c>
      <c r="N35" t="s">
        <v>30</v>
      </c>
      <c r="O35">
        <v>0</v>
      </c>
      <c r="P35" s="1">
        <v>46022</v>
      </c>
      <c r="R35" s="7"/>
      <c r="S35" s="7"/>
    </row>
    <row r="36" spans="1:19" x14ac:dyDescent="0.3">
      <c r="A36" t="s">
        <v>79</v>
      </c>
      <c r="B36" t="s">
        <v>24</v>
      </c>
      <c r="C36" t="s">
        <v>25</v>
      </c>
      <c r="D36" s="5">
        <v>842544</v>
      </c>
      <c r="E36">
        <v>536841.27</v>
      </c>
      <c r="F36" t="s">
        <v>14</v>
      </c>
      <c r="G36">
        <v>258</v>
      </c>
      <c r="H36" s="1">
        <f t="shared" si="0"/>
        <v>53478</v>
      </c>
      <c r="I36" t="s">
        <v>15</v>
      </c>
      <c r="J36" s="1">
        <v>45615</v>
      </c>
      <c r="K36" t="s">
        <v>39</v>
      </c>
      <c r="L36" s="3">
        <v>8.9600000000000013E-2</v>
      </c>
      <c r="M36" t="s">
        <v>17</v>
      </c>
      <c r="N36" t="s">
        <v>26</v>
      </c>
      <c r="O36">
        <v>1161775.8999999999</v>
      </c>
      <c r="P36" s="1">
        <v>46022</v>
      </c>
      <c r="R36" s="7"/>
      <c r="S36" s="7"/>
    </row>
    <row r="37" spans="1:19" x14ac:dyDescent="0.3">
      <c r="A37" t="s">
        <v>80</v>
      </c>
      <c r="B37" t="s">
        <v>24</v>
      </c>
      <c r="C37" t="s">
        <v>32</v>
      </c>
      <c r="D37" s="5">
        <v>25415</v>
      </c>
      <c r="E37">
        <v>23771.83</v>
      </c>
      <c r="F37" t="s">
        <v>33</v>
      </c>
      <c r="G37">
        <v>354</v>
      </c>
      <c r="H37" s="1">
        <f t="shared" si="0"/>
        <v>52901</v>
      </c>
      <c r="I37" t="s">
        <v>15</v>
      </c>
      <c r="J37" s="1">
        <v>42122</v>
      </c>
      <c r="K37" t="s">
        <v>81</v>
      </c>
      <c r="L37" s="3">
        <v>2.5699999999999997E-2</v>
      </c>
      <c r="M37" t="s">
        <v>29</v>
      </c>
      <c r="N37" t="s">
        <v>30</v>
      </c>
      <c r="O37">
        <v>0</v>
      </c>
      <c r="P37" s="1">
        <v>46022</v>
      </c>
      <c r="R37" s="7"/>
      <c r="S37" s="7"/>
    </row>
    <row r="38" spans="1:19" x14ac:dyDescent="0.3">
      <c r="A38" t="s">
        <v>82</v>
      </c>
      <c r="B38" t="s">
        <v>24</v>
      </c>
      <c r="C38" t="s">
        <v>32</v>
      </c>
      <c r="D38" s="5">
        <v>477600</v>
      </c>
      <c r="E38">
        <v>4471.28</v>
      </c>
      <c r="F38" t="s">
        <v>33</v>
      </c>
      <c r="G38">
        <v>156</v>
      </c>
      <c r="H38" s="1">
        <f t="shared" si="0"/>
        <v>48913</v>
      </c>
      <c r="I38" t="s">
        <v>15</v>
      </c>
      <c r="J38" s="1">
        <v>44150</v>
      </c>
      <c r="K38" t="s">
        <v>39</v>
      </c>
      <c r="L38" s="3">
        <v>8.0700000000000008E-2</v>
      </c>
      <c r="M38" t="s">
        <v>29</v>
      </c>
      <c r="N38" t="s">
        <v>30</v>
      </c>
      <c r="O38">
        <v>0</v>
      </c>
      <c r="P38" s="1">
        <v>46022</v>
      </c>
      <c r="R38" s="7"/>
      <c r="S38" s="7"/>
    </row>
    <row r="39" spans="1:19" x14ac:dyDescent="0.3">
      <c r="A39" t="s">
        <v>83</v>
      </c>
      <c r="B39" t="s">
        <v>24</v>
      </c>
      <c r="C39" t="s">
        <v>41</v>
      </c>
      <c r="D39" s="5">
        <v>15270</v>
      </c>
      <c r="E39">
        <v>6225.63</v>
      </c>
      <c r="F39" t="s">
        <v>14</v>
      </c>
      <c r="G39">
        <v>132</v>
      </c>
      <c r="H39" s="1">
        <f t="shared" si="0"/>
        <v>46660</v>
      </c>
      <c r="I39" t="s">
        <v>15</v>
      </c>
      <c r="J39" s="1">
        <v>42639</v>
      </c>
      <c r="K39" t="s">
        <v>39</v>
      </c>
      <c r="L39" s="3">
        <v>6.5599999999999992E-2</v>
      </c>
      <c r="M39" t="s">
        <v>17</v>
      </c>
      <c r="N39" t="s">
        <v>42</v>
      </c>
      <c r="O39">
        <v>15355.27</v>
      </c>
      <c r="P39" s="1">
        <v>46022</v>
      </c>
      <c r="R39" s="7"/>
      <c r="S39" s="7"/>
    </row>
    <row r="40" spans="1:19" x14ac:dyDescent="0.3">
      <c r="A40" t="s">
        <v>84</v>
      </c>
      <c r="B40" t="s">
        <v>12</v>
      </c>
      <c r="C40" t="s">
        <v>61</v>
      </c>
      <c r="D40" s="5">
        <v>17377678</v>
      </c>
      <c r="E40">
        <v>9990595.7699999996</v>
      </c>
      <c r="F40" t="s">
        <v>14</v>
      </c>
      <c r="G40">
        <v>282</v>
      </c>
      <c r="H40" s="1">
        <f t="shared" si="0"/>
        <v>49826</v>
      </c>
      <c r="I40" t="s">
        <v>15</v>
      </c>
      <c r="J40" s="1">
        <v>41219</v>
      </c>
      <c r="K40" t="s">
        <v>22</v>
      </c>
      <c r="L40" s="3">
        <v>4.3099999999999999E-2</v>
      </c>
      <c r="M40" t="s">
        <v>17</v>
      </c>
      <c r="N40" t="s">
        <v>26</v>
      </c>
      <c r="O40">
        <v>27034429.010000002</v>
      </c>
      <c r="P40" s="1">
        <v>46022</v>
      </c>
      <c r="R40" s="7"/>
      <c r="S40" s="7"/>
    </row>
    <row r="41" spans="1:19" x14ac:dyDescent="0.3">
      <c r="A41" t="s">
        <v>85</v>
      </c>
      <c r="B41" t="s">
        <v>24</v>
      </c>
      <c r="C41" t="s">
        <v>28</v>
      </c>
      <c r="D41" s="5">
        <v>3946000</v>
      </c>
      <c r="E41">
        <v>11462.02</v>
      </c>
      <c r="F41" t="s">
        <v>14</v>
      </c>
      <c r="G41">
        <v>258</v>
      </c>
      <c r="H41" s="1">
        <f t="shared" si="0"/>
        <v>48365</v>
      </c>
      <c r="I41" t="s">
        <v>15</v>
      </c>
      <c r="J41" s="1">
        <v>40512</v>
      </c>
      <c r="K41" t="s">
        <v>56</v>
      </c>
      <c r="L41" s="3">
        <v>4.3700000000000003E-2</v>
      </c>
      <c r="M41" t="s">
        <v>29</v>
      </c>
      <c r="N41" t="s">
        <v>30</v>
      </c>
      <c r="O41">
        <v>0</v>
      </c>
      <c r="P41" s="1">
        <v>46022</v>
      </c>
      <c r="R41" s="7"/>
      <c r="S41" s="7"/>
    </row>
    <row r="42" spans="1:19" x14ac:dyDescent="0.3">
      <c r="A42" t="s">
        <v>86</v>
      </c>
      <c r="B42" t="s">
        <v>20</v>
      </c>
      <c r="C42" t="s">
        <v>47</v>
      </c>
      <c r="D42" s="5">
        <v>3553021</v>
      </c>
      <c r="E42">
        <v>3539050.15</v>
      </c>
      <c r="F42" t="s">
        <v>48</v>
      </c>
      <c r="G42">
        <v>330</v>
      </c>
      <c r="H42" s="1">
        <f t="shared" si="0"/>
        <v>50495</v>
      </c>
      <c r="I42" t="s">
        <v>15</v>
      </c>
      <c r="J42" s="1">
        <v>40436</v>
      </c>
      <c r="K42" t="s">
        <v>56</v>
      </c>
      <c r="L42" s="3">
        <v>4.5499999999999999E-2</v>
      </c>
      <c r="M42" t="s">
        <v>29</v>
      </c>
      <c r="N42" t="s">
        <v>30</v>
      </c>
      <c r="O42">
        <v>0</v>
      </c>
      <c r="P42" s="1">
        <v>46022</v>
      </c>
      <c r="R42" s="7"/>
      <c r="S42" s="7"/>
    </row>
    <row r="43" spans="1:19" x14ac:dyDescent="0.3">
      <c r="A43" t="s">
        <v>87</v>
      </c>
      <c r="B43" t="s">
        <v>24</v>
      </c>
      <c r="C43" t="s">
        <v>41</v>
      </c>
      <c r="D43" s="5">
        <v>80975</v>
      </c>
      <c r="E43">
        <v>79599.259999999995</v>
      </c>
      <c r="F43" t="s">
        <v>14</v>
      </c>
      <c r="G43">
        <v>180</v>
      </c>
      <c r="H43" s="1">
        <f t="shared" si="0"/>
        <v>51074</v>
      </c>
      <c r="I43" t="s">
        <v>15</v>
      </c>
      <c r="J43" s="1">
        <v>45566</v>
      </c>
      <c r="K43" t="s">
        <v>16</v>
      </c>
      <c r="L43" s="3">
        <v>8.3100000000000007E-2</v>
      </c>
      <c r="M43" t="s">
        <v>17</v>
      </c>
      <c r="N43" t="s">
        <v>42</v>
      </c>
      <c r="O43">
        <v>90323.76</v>
      </c>
      <c r="P43" s="1">
        <v>46022</v>
      </c>
      <c r="R43" s="7"/>
      <c r="S43" s="7"/>
    </row>
    <row r="44" spans="1:19" x14ac:dyDescent="0.3">
      <c r="A44" t="s">
        <v>88</v>
      </c>
      <c r="B44" t="s">
        <v>20</v>
      </c>
      <c r="C44" t="s">
        <v>89</v>
      </c>
      <c r="D44" s="5">
        <v>2610482</v>
      </c>
      <c r="E44">
        <v>1787026.32</v>
      </c>
      <c r="F44" t="s">
        <v>33</v>
      </c>
      <c r="G44">
        <v>210</v>
      </c>
      <c r="H44" s="1">
        <f t="shared" si="0"/>
        <v>49278</v>
      </c>
      <c r="I44" t="s">
        <v>15</v>
      </c>
      <c r="J44" s="1">
        <v>42857</v>
      </c>
      <c r="K44" t="s">
        <v>39</v>
      </c>
      <c r="L44" s="3">
        <v>6.7000000000000004E-2</v>
      </c>
      <c r="M44" t="s">
        <v>29</v>
      </c>
      <c r="N44" t="s">
        <v>30</v>
      </c>
      <c r="O44">
        <v>0</v>
      </c>
      <c r="P44" s="1">
        <v>46022</v>
      </c>
      <c r="R44" s="7"/>
      <c r="S44" s="7"/>
    </row>
    <row r="45" spans="1:19" x14ac:dyDescent="0.3">
      <c r="A45" t="s">
        <v>90</v>
      </c>
      <c r="B45" t="s">
        <v>24</v>
      </c>
      <c r="C45" t="s">
        <v>32</v>
      </c>
      <c r="D45" s="5">
        <v>22570</v>
      </c>
      <c r="E45">
        <v>18596.86</v>
      </c>
      <c r="F45" t="s">
        <v>33</v>
      </c>
      <c r="G45">
        <v>360</v>
      </c>
      <c r="H45" s="1">
        <f t="shared" si="0"/>
        <v>56553</v>
      </c>
      <c r="I45" t="s">
        <v>15</v>
      </c>
      <c r="J45" s="1">
        <v>45596</v>
      </c>
      <c r="K45" t="s">
        <v>35</v>
      </c>
      <c r="L45" s="3">
        <v>6.4100000000000004E-2</v>
      </c>
      <c r="M45" t="s">
        <v>29</v>
      </c>
      <c r="N45" t="s">
        <v>30</v>
      </c>
      <c r="O45">
        <v>0</v>
      </c>
      <c r="P45" s="1">
        <v>46022</v>
      </c>
      <c r="R45" s="7"/>
      <c r="S45" s="7"/>
    </row>
    <row r="46" spans="1:19" x14ac:dyDescent="0.3">
      <c r="A46" t="s">
        <v>91</v>
      </c>
      <c r="B46" t="s">
        <v>37</v>
      </c>
      <c r="C46" t="s">
        <v>92</v>
      </c>
      <c r="D46" s="5">
        <v>82251738</v>
      </c>
      <c r="E46">
        <v>61161581.869999997</v>
      </c>
      <c r="F46" t="s">
        <v>48</v>
      </c>
      <c r="G46">
        <v>348</v>
      </c>
      <c r="H46" s="1">
        <f t="shared" si="0"/>
        <v>54301</v>
      </c>
      <c r="I46" t="s">
        <v>15</v>
      </c>
      <c r="J46" s="1">
        <v>43705</v>
      </c>
      <c r="K46" t="s">
        <v>22</v>
      </c>
      <c r="L46" s="3">
        <v>4.8399999999999999E-2</v>
      </c>
      <c r="M46" t="s">
        <v>17</v>
      </c>
      <c r="N46" t="s">
        <v>54</v>
      </c>
      <c r="O46">
        <v>134427622.80000001</v>
      </c>
      <c r="P46" s="1">
        <v>46022</v>
      </c>
      <c r="R46" s="7"/>
      <c r="S46" s="7"/>
    </row>
    <row r="47" spans="1:19" x14ac:dyDescent="0.3">
      <c r="A47" t="s">
        <v>93</v>
      </c>
      <c r="B47" t="s">
        <v>24</v>
      </c>
      <c r="C47" t="s">
        <v>28</v>
      </c>
      <c r="D47" s="5">
        <v>17081</v>
      </c>
      <c r="E47">
        <v>10826.94</v>
      </c>
      <c r="F47" t="s">
        <v>48</v>
      </c>
      <c r="G47">
        <v>72</v>
      </c>
      <c r="H47" s="1">
        <f t="shared" si="0"/>
        <v>45046</v>
      </c>
      <c r="I47" t="s">
        <v>15</v>
      </c>
      <c r="J47" s="1">
        <v>42851</v>
      </c>
      <c r="K47" t="s">
        <v>22</v>
      </c>
      <c r="L47" s="3">
        <v>4.8399999999999999E-2</v>
      </c>
      <c r="M47" t="s">
        <v>29</v>
      </c>
      <c r="N47" t="s">
        <v>30</v>
      </c>
      <c r="O47">
        <v>0</v>
      </c>
      <c r="P47" s="1">
        <v>46022</v>
      </c>
      <c r="R47" s="7"/>
      <c r="S47" s="7"/>
    </row>
    <row r="48" spans="1:19" x14ac:dyDescent="0.3">
      <c r="A48" t="s">
        <v>94</v>
      </c>
      <c r="B48" t="s">
        <v>24</v>
      </c>
      <c r="C48" t="s">
        <v>41</v>
      </c>
      <c r="D48" s="5">
        <v>49062</v>
      </c>
      <c r="E48">
        <v>7261.79</v>
      </c>
      <c r="F48" t="s">
        <v>14</v>
      </c>
      <c r="G48">
        <v>144</v>
      </c>
      <c r="H48" s="1">
        <f t="shared" si="0"/>
        <v>45443</v>
      </c>
      <c r="I48" t="s">
        <v>15</v>
      </c>
      <c r="J48" s="1">
        <v>41057</v>
      </c>
      <c r="K48" t="s">
        <v>39</v>
      </c>
      <c r="L48" s="3">
        <v>6.3299999999999995E-2</v>
      </c>
      <c r="M48" t="s">
        <v>17</v>
      </c>
      <c r="N48" t="s">
        <v>42</v>
      </c>
      <c r="O48">
        <v>58860.6</v>
      </c>
      <c r="P48" s="1">
        <v>46022</v>
      </c>
      <c r="R48" s="7"/>
      <c r="S48" s="7"/>
    </row>
    <row r="49" spans="1:19" x14ac:dyDescent="0.3">
      <c r="A49" t="s">
        <v>95</v>
      </c>
      <c r="B49" t="s">
        <v>24</v>
      </c>
      <c r="C49" t="s">
        <v>41</v>
      </c>
      <c r="D49" s="5">
        <v>17974</v>
      </c>
      <c r="E49">
        <v>9153.9599999999991</v>
      </c>
      <c r="F49" t="s">
        <v>14</v>
      </c>
      <c r="G49">
        <v>60</v>
      </c>
      <c r="H49" s="1">
        <f t="shared" si="0"/>
        <v>46387</v>
      </c>
      <c r="I49" t="s">
        <v>15</v>
      </c>
      <c r="J49" s="1">
        <v>44536</v>
      </c>
      <c r="K49" t="s">
        <v>56</v>
      </c>
      <c r="L49" s="3">
        <v>2.2499999999999999E-2</v>
      </c>
      <c r="M49" t="s">
        <v>17</v>
      </c>
      <c r="N49" t="s">
        <v>42</v>
      </c>
      <c r="O49">
        <v>21082.03</v>
      </c>
      <c r="P49" s="1">
        <v>46022</v>
      </c>
      <c r="R49" s="7"/>
      <c r="S49" s="7"/>
    </row>
    <row r="50" spans="1:19" x14ac:dyDescent="0.3">
      <c r="A50" t="s">
        <v>96</v>
      </c>
      <c r="B50" t="s">
        <v>24</v>
      </c>
      <c r="C50" t="s">
        <v>41</v>
      </c>
      <c r="D50" s="5">
        <v>29855</v>
      </c>
      <c r="E50">
        <v>21116.73</v>
      </c>
      <c r="F50" t="s">
        <v>14</v>
      </c>
      <c r="G50">
        <v>120</v>
      </c>
      <c r="H50" s="1">
        <f t="shared" si="0"/>
        <v>45626</v>
      </c>
      <c r="I50" t="s">
        <v>15</v>
      </c>
      <c r="J50" s="1">
        <v>41961</v>
      </c>
      <c r="K50" t="s">
        <v>35</v>
      </c>
      <c r="L50" s="3">
        <v>4.0199999999999993E-2</v>
      </c>
      <c r="M50" t="s">
        <v>17</v>
      </c>
      <c r="N50" t="s">
        <v>42</v>
      </c>
      <c r="O50">
        <v>36988.28</v>
      </c>
      <c r="P50" s="1">
        <v>46022</v>
      </c>
      <c r="R50" s="7"/>
      <c r="S50" s="7"/>
    </row>
    <row r="51" spans="1:19" x14ac:dyDescent="0.3">
      <c r="A51" t="s">
        <v>97</v>
      </c>
      <c r="B51" t="s">
        <v>37</v>
      </c>
      <c r="C51" t="s">
        <v>92</v>
      </c>
      <c r="D51" s="5">
        <v>303130394</v>
      </c>
      <c r="E51">
        <v>215155422</v>
      </c>
      <c r="F51" t="s">
        <v>48</v>
      </c>
      <c r="G51">
        <v>234</v>
      </c>
      <c r="H51" s="1">
        <f t="shared" si="0"/>
        <v>48944</v>
      </c>
      <c r="I51" t="s">
        <v>15</v>
      </c>
      <c r="J51" s="1">
        <v>41806</v>
      </c>
      <c r="K51" t="s">
        <v>16</v>
      </c>
      <c r="L51" s="3">
        <v>9.6600000000000005E-2</v>
      </c>
      <c r="M51" t="s">
        <v>17</v>
      </c>
      <c r="N51" t="s">
        <v>54</v>
      </c>
      <c r="O51">
        <v>421742640</v>
      </c>
      <c r="P51" s="1">
        <v>46022</v>
      </c>
      <c r="R51" s="7"/>
      <c r="S51" s="7"/>
    </row>
    <row r="52" spans="1:19" x14ac:dyDescent="0.3">
      <c r="A52" t="s">
        <v>98</v>
      </c>
      <c r="B52" t="s">
        <v>24</v>
      </c>
      <c r="C52" t="s">
        <v>28</v>
      </c>
      <c r="D52" s="5">
        <v>37047</v>
      </c>
      <c r="E52">
        <v>16145.68</v>
      </c>
      <c r="F52" t="s">
        <v>14</v>
      </c>
      <c r="G52">
        <v>234</v>
      </c>
      <c r="H52" s="1">
        <f t="shared" si="0"/>
        <v>51805</v>
      </c>
      <c r="I52" t="s">
        <v>15</v>
      </c>
      <c r="J52" s="1">
        <v>44672</v>
      </c>
      <c r="K52" t="s">
        <v>81</v>
      </c>
      <c r="L52" s="3">
        <v>3.32E-2</v>
      </c>
      <c r="M52" t="s">
        <v>29</v>
      </c>
      <c r="N52" t="s">
        <v>30</v>
      </c>
      <c r="O52">
        <v>0</v>
      </c>
      <c r="P52" s="1">
        <v>46022</v>
      </c>
      <c r="R52" s="7"/>
      <c r="S52" s="7"/>
    </row>
    <row r="53" spans="1:19" x14ac:dyDescent="0.3">
      <c r="A53" t="s">
        <v>99</v>
      </c>
      <c r="B53" t="s">
        <v>24</v>
      </c>
      <c r="C53" t="s">
        <v>28</v>
      </c>
      <c r="D53" s="5">
        <v>49919</v>
      </c>
      <c r="E53">
        <v>47299.42</v>
      </c>
      <c r="F53" t="s">
        <v>14</v>
      </c>
      <c r="G53">
        <v>120</v>
      </c>
      <c r="H53" s="1">
        <f t="shared" si="0"/>
        <v>48548</v>
      </c>
      <c r="I53" t="s">
        <v>15</v>
      </c>
      <c r="J53" s="1">
        <v>44886</v>
      </c>
      <c r="K53" t="s">
        <v>35</v>
      </c>
      <c r="L53" s="3">
        <v>3.5099999999999999E-2</v>
      </c>
      <c r="M53" t="s">
        <v>29</v>
      </c>
      <c r="N53" t="s">
        <v>30</v>
      </c>
      <c r="O53">
        <v>0</v>
      </c>
      <c r="P53" s="1">
        <v>46022</v>
      </c>
      <c r="R53" s="7"/>
      <c r="S53" s="7"/>
    </row>
    <row r="54" spans="1:19" x14ac:dyDescent="0.3">
      <c r="A54" t="s">
        <v>100</v>
      </c>
      <c r="B54" t="s">
        <v>12</v>
      </c>
      <c r="C54" t="s">
        <v>26</v>
      </c>
      <c r="D54" s="5">
        <v>46722553</v>
      </c>
      <c r="E54" s="4">
        <v>11709668.390000001</v>
      </c>
      <c r="F54" t="s">
        <v>48</v>
      </c>
      <c r="G54">
        <v>246</v>
      </c>
      <c r="H54" s="1">
        <f t="shared" si="0"/>
        <v>52717</v>
      </c>
      <c r="I54" t="s">
        <v>15</v>
      </c>
      <c r="J54" s="1">
        <v>45203</v>
      </c>
      <c r="K54" t="s">
        <v>22</v>
      </c>
      <c r="L54" s="3">
        <v>0.1736</v>
      </c>
      <c r="M54" t="s">
        <v>29</v>
      </c>
      <c r="N54" t="s">
        <v>30</v>
      </c>
      <c r="O54">
        <v>0</v>
      </c>
      <c r="P54" s="1">
        <v>46022</v>
      </c>
      <c r="R54" s="7"/>
      <c r="S54" s="7"/>
    </row>
    <row r="55" spans="1:19" x14ac:dyDescent="0.3">
      <c r="A55" t="s">
        <v>102</v>
      </c>
      <c r="B55" t="s">
        <v>12</v>
      </c>
      <c r="C55" t="s">
        <v>61</v>
      </c>
      <c r="D55" s="5">
        <v>32485695</v>
      </c>
      <c r="E55">
        <v>17877641.300000001</v>
      </c>
      <c r="F55" t="s">
        <v>48</v>
      </c>
      <c r="G55">
        <v>342</v>
      </c>
      <c r="H55" s="1">
        <f t="shared" si="0"/>
        <v>53723</v>
      </c>
      <c r="I55" t="s">
        <v>15</v>
      </c>
      <c r="J55" s="1">
        <v>43297</v>
      </c>
      <c r="K55" t="s">
        <v>39</v>
      </c>
      <c r="L55" s="3">
        <v>7.0499999999999993E-2</v>
      </c>
      <c r="M55" t="s">
        <v>17</v>
      </c>
      <c r="N55" t="s">
        <v>18</v>
      </c>
      <c r="O55">
        <v>45472220.770000003</v>
      </c>
      <c r="P55" s="1">
        <v>46022</v>
      </c>
      <c r="R55" s="7"/>
      <c r="S55" s="7"/>
    </row>
    <row r="56" spans="1:19" x14ac:dyDescent="0.3">
      <c r="A56" t="s">
        <v>103</v>
      </c>
      <c r="B56" t="s">
        <v>24</v>
      </c>
      <c r="C56" t="s">
        <v>25</v>
      </c>
      <c r="D56" s="5">
        <v>479123</v>
      </c>
      <c r="E56">
        <v>345829.04</v>
      </c>
      <c r="F56" t="s">
        <v>14</v>
      </c>
      <c r="G56">
        <v>318</v>
      </c>
      <c r="H56" s="1">
        <f t="shared" si="0"/>
        <v>53143</v>
      </c>
      <c r="I56" t="s">
        <v>15</v>
      </c>
      <c r="J56" s="1">
        <v>43439</v>
      </c>
      <c r="K56" t="s">
        <v>22</v>
      </c>
      <c r="L56" s="3">
        <v>5.3499999999999999E-2</v>
      </c>
      <c r="M56" t="s">
        <v>17</v>
      </c>
      <c r="N56" t="s">
        <v>26</v>
      </c>
      <c r="O56">
        <v>670917.35</v>
      </c>
      <c r="P56" s="1">
        <v>46022</v>
      </c>
      <c r="R56" s="7"/>
      <c r="S56" s="7"/>
    </row>
    <row r="57" spans="1:19" x14ac:dyDescent="0.3">
      <c r="A57" t="s">
        <v>104</v>
      </c>
      <c r="B57" t="s">
        <v>24</v>
      </c>
      <c r="C57" t="s">
        <v>25</v>
      </c>
      <c r="D57" s="5">
        <v>672560</v>
      </c>
      <c r="E57">
        <v>489234.82</v>
      </c>
      <c r="F57" t="s">
        <v>14</v>
      </c>
      <c r="G57">
        <v>270</v>
      </c>
      <c r="H57" s="1">
        <f t="shared" si="0"/>
        <v>51652</v>
      </c>
      <c r="I57" t="s">
        <v>15</v>
      </c>
      <c r="J57" s="1">
        <v>43409</v>
      </c>
      <c r="K57" t="s">
        <v>56</v>
      </c>
      <c r="L57" s="3">
        <v>3.8100000000000002E-2</v>
      </c>
      <c r="M57" t="s">
        <v>17</v>
      </c>
      <c r="N57" t="s">
        <v>26</v>
      </c>
      <c r="O57">
        <v>827111.8</v>
      </c>
      <c r="P57" s="1">
        <v>46022</v>
      </c>
      <c r="R57" s="7"/>
      <c r="S57" s="7"/>
    </row>
    <row r="58" spans="1:19" x14ac:dyDescent="0.3">
      <c r="A58" t="s">
        <v>105</v>
      </c>
      <c r="B58" t="s">
        <v>24</v>
      </c>
      <c r="C58" t="s">
        <v>25</v>
      </c>
      <c r="D58" s="5">
        <v>807086</v>
      </c>
      <c r="E58">
        <v>551865.59</v>
      </c>
      <c r="F58" t="s">
        <v>14</v>
      </c>
      <c r="G58">
        <v>72</v>
      </c>
      <c r="H58" s="1">
        <f t="shared" si="0"/>
        <v>45991</v>
      </c>
      <c r="I58" t="s">
        <v>15</v>
      </c>
      <c r="J58" s="1">
        <v>43784</v>
      </c>
      <c r="K58" t="s">
        <v>56</v>
      </c>
      <c r="L58" s="3">
        <v>3.2899999999999999E-2</v>
      </c>
      <c r="M58" t="s">
        <v>17</v>
      </c>
      <c r="N58" t="s">
        <v>26</v>
      </c>
      <c r="O58">
        <v>1147935.26</v>
      </c>
      <c r="P58" s="1">
        <v>46022</v>
      </c>
      <c r="R58" s="7"/>
      <c r="S58" s="7"/>
    </row>
    <row r="59" spans="1:19" x14ac:dyDescent="0.3">
      <c r="A59" t="s">
        <v>106</v>
      </c>
      <c r="B59" t="s">
        <v>24</v>
      </c>
      <c r="C59" t="s">
        <v>41</v>
      </c>
      <c r="D59" s="5">
        <v>20650</v>
      </c>
      <c r="E59">
        <v>7181.32</v>
      </c>
      <c r="F59" t="s">
        <v>14</v>
      </c>
      <c r="G59">
        <v>78</v>
      </c>
      <c r="H59" s="1">
        <f t="shared" si="0"/>
        <v>45869</v>
      </c>
      <c r="I59" t="s">
        <v>15</v>
      </c>
      <c r="J59" s="1">
        <v>43487</v>
      </c>
      <c r="K59" t="s">
        <v>35</v>
      </c>
      <c r="L59" s="3">
        <v>3.3500000000000002E-2</v>
      </c>
      <c r="M59" t="s">
        <v>17</v>
      </c>
      <c r="N59" t="s">
        <v>42</v>
      </c>
      <c r="O59">
        <v>24297.99</v>
      </c>
      <c r="P59" s="1">
        <v>46022</v>
      </c>
      <c r="R59" s="7"/>
      <c r="S59" s="7"/>
    </row>
    <row r="60" spans="1:19" x14ac:dyDescent="0.3">
      <c r="A60" t="s">
        <v>107</v>
      </c>
      <c r="B60" t="s">
        <v>24</v>
      </c>
      <c r="C60" t="s">
        <v>28</v>
      </c>
      <c r="D60" s="5">
        <v>21085</v>
      </c>
      <c r="E60">
        <v>5072.84</v>
      </c>
      <c r="F60" t="s">
        <v>48</v>
      </c>
      <c r="G60">
        <v>336</v>
      </c>
      <c r="H60" s="1">
        <f t="shared" si="0"/>
        <v>51135</v>
      </c>
      <c r="I60" t="s">
        <v>15</v>
      </c>
      <c r="J60" s="1">
        <v>40898</v>
      </c>
      <c r="K60" t="s">
        <v>16</v>
      </c>
      <c r="L60" s="3">
        <v>0.1024</v>
      </c>
      <c r="M60" t="s">
        <v>29</v>
      </c>
      <c r="N60" t="s">
        <v>30</v>
      </c>
      <c r="O60">
        <v>0</v>
      </c>
      <c r="P60" s="1">
        <v>46022</v>
      </c>
      <c r="R60" s="7"/>
      <c r="S60" s="7"/>
    </row>
    <row r="61" spans="1:19" x14ac:dyDescent="0.3">
      <c r="A61" t="s">
        <v>108</v>
      </c>
      <c r="B61" t="s">
        <v>37</v>
      </c>
      <c r="C61" t="s">
        <v>92</v>
      </c>
      <c r="D61" s="5">
        <v>421503120</v>
      </c>
      <c r="E61">
        <v>283396060.69999999</v>
      </c>
      <c r="F61" t="s">
        <v>14</v>
      </c>
      <c r="G61">
        <v>60</v>
      </c>
      <c r="H61" s="1">
        <f t="shared" si="0"/>
        <v>46081</v>
      </c>
      <c r="I61" t="s">
        <v>15</v>
      </c>
      <c r="J61" s="1">
        <v>44237</v>
      </c>
      <c r="K61" t="s">
        <v>22</v>
      </c>
      <c r="L61" s="3">
        <v>4.6799999999999994E-2</v>
      </c>
      <c r="M61" t="s">
        <v>17</v>
      </c>
      <c r="N61" t="s">
        <v>18</v>
      </c>
      <c r="O61">
        <v>834123519.60000002</v>
      </c>
      <c r="P61" s="1">
        <v>46022</v>
      </c>
      <c r="R61" s="7"/>
      <c r="S61" s="7"/>
    </row>
    <row r="62" spans="1:19" x14ac:dyDescent="0.3">
      <c r="A62" t="s">
        <v>109</v>
      </c>
      <c r="B62" t="s">
        <v>24</v>
      </c>
      <c r="C62" t="s">
        <v>28</v>
      </c>
      <c r="D62" s="5">
        <v>19808</v>
      </c>
      <c r="E62">
        <v>12664.56</v>
      </c>
      <c r="F62" t="s">
        <v>48</v>
      </c>
      <c r="G62">
        <v>198</v>
      </c>
      <c r="H62" s="1">
        <f t="shared" si="0"/>
        <v>48791</v>
      </c>
      <c r="I62" t="s">
        <v>15</v>
      </c>
      <c r="J62" s="1">
        <v>42760</v>
      </c>
      <c r="K62" t="s">
        <v>39</v>
      </c>
      <c r="L62" s="3">
        <v>6.7199999999999996E-2</v>
      </c>
      <c r="M62" t="s">
        <v>29</v>
      </c>
      <c r="N62" t="s">
        <v>30</v>
      </c>
      <c r="O62">
        <v>0</v>
      </c>
      <c r="P62" s="1">
        <v>46022</v>
      </c>
      <c r="R62" s="7"/>
      <c r="S62" s="7"/>
    </row>
    <row r="63" spans="1:19" x14ac:dyDescent="0.3">
      <c r="A63" t="s">
        <v>110</v>
      </c>
      <c r="B63" t="s">
        <v>24</v>
      </c>
      <c r="C63" t="s">
        <v>41</v>
      </c>
      <c r="D63" s="5">
        <v>61469</v>
      </c>
      <c r="E63">
        <v>16069.12</v>
      </c>
      <c r="F63" t="s">
        <v>14</v>
      </c>
      <c r="G63">
        <v>342</v>
      </c>
      <c r="H63" s="1">
        <f t="shared" si="0"/>
        <v>54513</v>
      </c>
      <c r="I63" t="s">
        <v>15</v>
      </c>
      <c r="J63" s="1">
        <v>44081</v>
      </c>
      <c r="K63" t="s">
        <v>16</v>
      </c>
      <c r="L63" s="3">
        <v>8.2100000000000006E-2</v>
      </c>
      <c r="M63" t="s">
        <v>17</v>
      </c>
      <c r="N63" t="s">
        <v>42</v>
      </c>
      <c r="O63">
        <v>63223.15</v>
      </c>
      <c r="P63" s="1">
        <v>46022</v>
      </c>
      <c r="R63" s="7"/>
      <c r="S63" s="7"/>
    </row>
    <row r="64" spans="1:19" x14ac:dyDescent="0.3">
      <c r="A64" t="s">
        <v>111</v>
      </c>
      <c r="B64" t="s">
        <v>24</v>
      </c>
      <c r="C64" t="s">
        <v>25</v>
      </c>
      <c r="D64" s="5">
        <v>628992</v>
      </c>
      <c r="E64">
        <v>462073.7</v>
      </c>
      <c r="F64" t="s">
        <v>14</v>
      </c>
      <c r="G64">
        <v>240</v>
      </c>
      <c r="H64" s="1">
        <f t="shared" si="0"/>
        <v>48610</v>
      </c>
      <c r="I64" t="s">
        <v>15</v>
      </c>
      <c r="J64" s="1">
        <v>41288</v>
      </c>
      <c r="K64" t="s">
        <v>22</v>
      </c>
      <c r="L64" s="3">
        <v>5.2900000000000003E-2</v>
      </c>
      <c r="M64" t="s">
        <v>17</v>
      </c>
      <c r="N64" t="s">
        <v>26</v>
      </c>
      <c r="O64">
        <v>871393.4</v>
      </c>
      <c r="P64" s="1">
        <v>46022</v>
      </c>
      <c r="R64" s="7"/>
      <c r="S64" s="7"/>
    </row>
    <row r="65" spans="1:19" x14ac:dyDescent="0.3">
      <c r="A65" t="s">
        <v>112</v>
      </c>
      <c r="B65" t="s">
        <v>24</v>
      </c>
      <c r="C65" t="s">
        <v>32</v>
      </c>
      <c r="D65" s="5">
        <v>10039</v>
      </c>
      <c r="E65">
        <v>5116.6000000000004</v>
      </c>
      <c r="F65" t="s">
        <v>33</v>
      </c>
      <c r="G65">
        <v>324</v>
      </c>
      <c r="H65" s="1">
        <f t="shared" si="0"/>
        <v>54209</v>
      </c>
      <c r="I65" t="s">
        <v>15</v>
      </c>
      <c r="J65" s="1">
        <v>44343</v>
      </c>
      <c r="K65" t="s">
        <v>35</v>
      </c>
      <c r="L65" s="3">
        <v>2.5099999999999997E-2</v>
      </c>
      <c r="M65" t="s">
        <v>29</v>
      </c>
      <c r="N65" t="s">
        <v>30</v>
      </c>
      <c r="O65">
        <v>0</v>
      </c>
      <c r="P65" s="1">
        <v>46022</v>
      </c>
      <c r="R65" s="7"/>
      <c r="S65" s="7"/>
    </row>
    <row r="66" spans="1:19" x14ac:dyDescent="0.3">
      <c r="A66" t="s">
        <v>113</v>
      </c>
      <c r="B66" t="s">
        <v>24</v>
      </c>
      <c r="C66" t="s">
        <v>41</v>
      </c>
      <c r="D66" s="5">
        <v>42601</v>
      </c>
      <c r="E66">
        <v>29862.78</v>
      </c>
      <c r="F66" t="s">
        <v>14</v>
      </c>
      <c r="G66">
        <v>96</v>
      </c>
      <c r="H66" s="1">
        <f t="shared" ref="H66:H129" si="1">EOMONTH(J66,G66)</f>
        <v>47118</v>
      </c>
      <c r="I66" t="s">
        <v>15</v>
      </c>
      <c r="J66" s="1">
        <v>44175</v>
      </c>
      <c r="K66" t="s">
        <v>22</v>
      </c>
      <c r="L66" s="3">
        <v>3.0299999999999997E-2</v>
      </c>
      <c r="M66" t="s">
        <v>17</v>
      </c>
      <c r="N66" t="s">
        <v>42</v>
      </c>
      <c r="O66">
        <v>44033.78</v>
      </c>
      <c r="P66" s="1">
        <v>46022</v>
      </c>
      <c r="R66" s="7"/>
      <c r="S66" s="7"/>
    </row>
    <row r="67" spans="1:19" x14ac:dyDescent="0.3">
      <c r="A67" t="s">
        <v>114</v>
      </c>
      <c r="B67" t="s">
        <v>24</v>
      </c>
      <c r="C67" t="s">
        <v>32</v>
      </c>
      <c r="D67" s="5">
        <v>17391</v>
      </c>
      <c r="E67">
        <v>14845.53</v>
      </c>
      <c r="F67" t="s">
        <v>33</v>
      </c>
      <c r="G67">
        <v>270</v>
      </c>
      <c r="H67" s="1">
        <f t="shared" si="1"/>
        <v>53570</v>
      </c>
      <c r="I67" t="s">
        <v>15</v>
      </c>
      <c r="J67" s="1">
        <v>45330</v>
      </c>
      <c r="K67" t="s">
        <v>16</v>
      </c>
      <c r="L67" s="3">
        <v>0.1195</v>
      </c>
      <c r="M67" t="s">
        <v>29</v>
      </c>
      <c r="N67" t="s">
        <v>30</v>
      </c>
      <c r="O67">
        <v>0</v>
      </c>
      <c r="P67" s="1">
        <v>46022</v>
      </c>
      <c r="R67" s="7"/>
      <c r="S67" s="7"/>
    </row>
    <row r="68" spans="1:19" x14ac:dyDescent="0.3">
      <c r="A68" t="s">
        <v>115</v>
      </c>
      <c r="B68" t="s">
        <v>24</v>
      </c>
      <c r="C68" t="s">
        <v>28</v>
      </c>
      <c r="D68" s="5">
        <v>2284</v>
      </c>
      <c r="E68">
        <v>577.20000000000005</v>
      </c>
      <c r="F68" t="s">
        <v>48</v>
      </c>
      <c r="G68">
        <v>210</v>
      </c>
      <c r="H68" s="1">
        <f t="shared" si="1"/>
        <v>49918</v>
      </c>
      <c r="I68" t="s">
        <v>15</v>
      </c>
      <c r="J68" s="1">
        <v>43500</v>
      </c>
      <c r="K68" t="s">
        <v>39</v>
      </c>
      <c r="L68" s="3">
        <v>7.0599999999999996E-2</v>
      </c>
      <c r="M68" t="s">
        <v>29</v>
      </c>
      <c r="N68" t="s">
        <v>30</v>
      </c>
      <c r="O68">
        <v>0</v>
      </c>
      <c r="P68" s="1">
        <v>46022</v>
      </c>
      <c r="R68" s="7"/>
      <c r="S68" s="7"/>
    </row>
    <row r="69" spans="1:19" x14ac:dyDescent="0.3">
      <c r="A69" t="s">
        <v>116</v>
      </c>
      <c r="B69" t="s">
        <v>37</v>
      </c>
      <c r="C69" t="s">
        <v>74</v>
      </c>
      <c r="D69" s="5">
        <v>21853964</v>
      </c>
      <c r="E69">
        <v>2561948.5699999998</v>
      </c>
      <c r="F69" t="s">
        <v>33</v>
      </c>
      <c r="G69">
        <v>18</v>
      </c>
      <c r="H69" s="1">
        <f t="shared" si="1"/>
        <v>45961</v>
      </c>
      <c r="I69" t="s">
        <v>15</v>
      </c>
      <c r="J69" s="1">
        <v>45387</v>
      </c>
      <c r="K69" t="s">
        <v>56</v>
      </c>
      <c r="L69" s="3">
        <v>5.0999999999999997E-2</v>
      </c>
      <c r="M69" t="s">
        <v>29</v>
      </c>
      <c r="N69" t="s">
        <v>30</v>
      </c>
      <c r="O69">
        <v>0</v>
      </c>
      <c r="P69" s="1">
        <v>46022</v>
      </c>
      <c r="R69" s="7"/>
      <c r="S69" s="7"/>
    </row>
    <row r="70" spans="1:19" x14ac:dyDescent="0.3">
      <c r="A70" t="s">
        <v>117</v>
      </c>
      <c r="B70" t="s">
        <v>12</v>
      </c>
      <c r="C70" t="s">
        <v>61</v>
      </c>
      <c r="D70" s="5">
        <v>41753155</v>
      </c>
      <c r="E70">
        <v>33452307.559999999</v>
      </c>
      <c r="F70" t="s">
        <v>33</v>
      </c>
      <c r="G70">
        <v>336</v>
      </c>
      <c r="H70" s="1">
        <f t="shared" si="1"/>
        <v>50617</v>
      </c>
      <c r="I70" t="s">
        <v>15</v>
      </c>
      <c r="J70" s="1">
        <v>40372</v>
      </c>
      <c r="K70" t="s">
        <v>39</v>
      </c>
      <c r="L70" s="3">
        <v>7.2099999999999997E-2</v>
      </c>
      <c r="M70" t="s">
        <v>17</v>
      </c>
      <c r="N70" t="s">
        <v>18</v>
      </c>
      <c r="O70">
        <v>49253151.950000003</v>
      </c>
      <c r="P70" s="1">
        <v>46022</v>
      </c>
      <c r="R70" s="7"/>
      <c r="S70" s="7"/>
    </row>
    <row r="71" spans="1:19" x14ac:dyDescent="0.3">
      <c r="A71" t="s">
        <v>118</v>
      </c>
      <c r="B71" t="s">
        <v>24</v>
      </c>
      <c r="C71" t="s">
        <v>32</v>
      </c>
      <c r="D71" s="5">
        <v>14380</v>
      </c>
      <c r="E71">
        <v>9329.01</v>
      </c>
      <c r="F71" t="s">
        <v>33</v>
      </c>
      <c r="G71">
        <v>60</v>
      </c>
      <c r="H71" s="1">
        <f t="shared" si="1"/>
        <v>45443</v>
      </c>
      <c r="I71" t="s">
        <v>15</v>
      </c>
      <c r="J71" s="1">
        <v>43608</v>
      </c>
      <c r="K71" t="s">
        <v>22</v>
      </c>
      <c r="L71" s="3">
        <v>4.2599999999999999E-2</v>
      </c>
      <c r="M71" t="s">
        <v>29</v>
      </c>
      <c r="N71" t="s">
        <v>30</v>
      </c>
      <c r="O71">
        <v>0</v>
      </c>
      <c r="P71" s="1">
        <v>46022</v>
      </c>
      <c r="R71" s="7"/>
      <c r="S71" s="7"/>
    </row>
    <row r="72" spans="1:19" x14ac:dyDescent="0.3">
      <c r="A72" t="s">
        <v>119</v>
      </c>
      <c r="B72" t="s">
        <v>24</v>
      </c>
      <c r="C72" t="s">
        <v>25</v>
      </c>
      <c r="D72" s="5">
        <v>566271</v>
      </c>
      <c r="E72">
        <v>413194.06</v>
      </c>
      <c r="F72" t="s">
        <v>14</v>
      </c>
      <c r="G72">
        <v>156</v>
      </c>
      <c r="H72" s="1">
        <f t="shared" si="1"/>
        <v>47968</v>
      </c>
      <c r="I72" t="s">
        <v>15</v>
      </c>
      <c r="J72" s="1">
        <v>43200</v>
      </c>
      <c r="K72" t="s">
        <v>16</v>
      </c>
      <c r="L72" s="3">
        <v>0.10400000000000001</v>
      </c>
      <c r="M72" t="s">
        <v>17</v>
      </c>
      <c r="N72" t="s">
        <v>26</v>
      </c>
      <c r="O72">
        <v>770593.5</v>
      </c>
      <c r="P72" s="1">
        <v>46022</v>
      </c>
      <c r="R72" s="7"/>
      <c r="S72" s="7"/>
    </row>
    <row r="73" spans="1:19" x14ac:dyDescent="0.3">
      <c r="A73" t="s">
        <v>120</v>
      </c>
      <c r="B73" t="s">
        <v>24</v>
      </c>
      <c r="C73" t="s">
        <v>25</v>
      </c>
      <c r="D73" s="5">
        <v>368853</v>
      </c>
      <c r="E73">
        <v>315125.7</v>
      </c>
      <c r="F73" t="s">
        <v>14</v>
      </c>
      <c r="G73">
        <v>66</v>
      </c>
      <c r="H73" s="1">
        <f t="shared" si="1"/>
        <v>47149</v>
      </c>
      <c r="I73" t="s">
        <v>15</v>
      </c>
      <c r="J73" s="1">
        <v>45118</v>
      </c>
      <c r="K73" t="s">
        <v>35</v>
      </c>
      <c r="L73" s="3">
        <v>6.1799999999999994E-2</v>
      </c>
      <c r="M73" t="s">
        <v>17</v>
      </c>
      <c r="N73" t="s">
        <v>26</v>
      </c>
      <c r="O73">
        <v>464789.33</v>
      </c>
      <c r="P73" s="1">
        <v>46022</v>
      </c>
      <c r="R73" s="7"/>
      <c r="S73" s="7"/>
    </row>
    <row r="74" spans="1:19" x14ac:dyDescent="0.3">
      <c r="A74" t="s">
        <v>121</v>
      </c>
      <c r="B74" t="s">
        <v>24</v>
      </c>
      <c r="C74" t="s">
        <v>25</v>
      </c>
      <c r="D74" s="5">
        <v>946611</v>
      </c>
      <c r="E74">
        <v>778616.06</v>
      </c>
      <c r="F74" t="s">
        <v>14</v>
      </c>
      <c r="G74">
        <v>240</v>
      </c>
      <c r="H74" s="1">
        <f t="shared" si="1"/>
        <v>50009</v>
      </c>
      <c r="I74" t="s">
        <v>15</v>
      </c>
      <c r="J74" s="1">
        <v>42696</v>
      </c>
      <c r="K74" t="s">
        <v>22</v>
      </c>
      <c r="L74" s="3">
        <v>4.2999999999999997E-2</v>
      </c>
      <c r="M74" t="s">
        <v>17</v>
      </c>
      <c r="N74" t="s">
        <v>26</v>
      </c>
      <c r="O74">
        <v>1230886.8400000001</v>
      </c>
      <c r="P74" s="1">
        <v>46022</v>
      </c>
      <c r="R74" s="7"/>
      <c r="S74" s="7"/>
    </row>
    <row r="75" spans="1:19" x14ac:dyDescent="0.3">
      <c r="A75" t="s">
        <v>122</v>
      </c>
      <c r="B75" t="s">
        <v>24</v>
      </c>
      <c r="C75" t="s">
        <v>41</v>
      </c>
      <c r="D75" s="5">
        <v>33337</v>
      </c>
      <c r="E75">
        <v>32164.2</v>
      </c>
      <c r="F75" t="s">
        <v>14</v>
      </c>
      <c r="G75">
        <v>318</v>
      </c>
      <c r="H75" s="1">
        <f t="shared" si="1"/>
        <v>51591</v>
      </c>
      <c r="I75" t="s">
        <v>15</v>
      </c>
      <c r="J75" s="1">
        <v>41907</v>
      </c>
      <c r="K75" t="s">
        <v>16</v>
      </c>
      <c r="L75" s="3">
        <v>9.849999999999999E-2</v>
      </c>
      <c r="M75" t="s">
        <v>17</v>
      </c>
      <c r="N75" t="s">
        <v>42</v>
      </c>
      <c r="O75">
        <v>41263.9</v>
      </c>
      <c r="P75" s="1">
        <v>46022</v>
      </c>
      <c r="R75" s="7"/>
      <c r="S75" s="7"/>
    </row>
    <row r="76" spans="1:19" x14ac:dyDescent="0.3">
      <c r="A76" t="s">
        <v>123</v>
      </c>
      <c r="B76" t="s">
        <v>24</v>
      </c>
      <c r="C76" t="s">
        <v>28</v>
      </c>
      <c r="D76" s="5">
        <v>22053</v>
      </c>
      <c r="E76">
        <v>12842.48</v>
      </c>
      <c r="F76" t="s">
        <v>14</v>
      </c>
      <c r="G76">
        <v>336</v>
      </c>
      <c r="H76" s="1">
        <f t="shared" si="1"/>
        <v>55426</v>
      </c>
      <c r="I76" t="s">
        <v>15</v>
      </c>
      <c r="J76" s="1">
        <v>45180</v>
      </c>
      <c r="K76" t="s">
        <v>22</v>
      </c>
      <c r="L76" s="3">
        <v>7.0199999999999999E-2</v>
      </c>
      <c r="M76" t="s">
        <v>29</v>
      </c>
      <c r="N76" t="s">
        <v>30</v>
      </c>
      <c r="O76">
        <v>0</v>
      </c>
      <c r="P76" s="1">
        <v>46022</v>
      </c>
      <c r="R76" s="7"/>
      <c r="S76" s="7"/>
    </row>
    <row r="77" spans="1:19" x14ac:dyDescent="0.3">
      <c r="A77" t="s">
        <v>124</v>
      </c>
      <c r="B77" t="s">
        <v>20</v>
      </c>
      <c r="C77" t="s">
        <v>47</v>
      </c>
      <c r="D77" s="5">
        <v>4370015</v>
      </c>
      <c r="E77">
        <v>2358261.2799999998</v>
      </c>
      <c r="F77" t="s">
        <v>33</v>
      </c>
      <c r="G77">
        <v>60</v>
      </c>
      <c r="H77" s="1">
        <f t="shared" si="1"/>
        <v>45535</v>
      </c>
      <c r="I77" t="s">
        <v>15</v>
      </c>
      <c r="J77" s="1">
        <v>43696</v>
      </c>
      <c r="K77" t="s">
        <v>22</v>
      </c>
      <c r="L77" s="3">
        <v>4.7E-2</v>
      </c>
      <c r="M77" t="s">
        <v>29</v>
      </c>
      <c r="N77" t="s">
        <v>30</v>
      </c>
      <c r="O77">
        <v>0</v>
      </c>
      <c r="P77" s="1">
        <v>46022</v>
      </c>
      <c r="R77" s="7"/>
      <c r="S77" s="7"/>
    </row>
    <row r="78" spans="1:19" x14ac:dyDescent="0.3">
      <c r="A78" t="s">
        <v>125</v>
      </c>
      <c r="B78" t="s">
        <v>24</v>
      </c>
      <c r="C78" t="s">
        <v>28</v>
      </c>
      <c r="D78" s="5">
        <v>42255</v>
      </c>
      <c r="E78">
        <v>19508.95</v>
      </c>
      <c r="F78" t="s">
        <v>33</v>
      </c>
      <c r="G78">
        <v>252</v>
      </c>
      <c r="H78" s="1">
        <f t="shared" si="1"/>
        <v>49765</v>
      </c>
      <c r="I78" t="s">
        <v>15</v>
      </c>
      <c r="J78" s="1">
        <v>42067</v>
      </c>
      <c r="K78" t="s">
        <v>56</v>
      </c>
      <c r="L78" s="3">
        <v>2.8799999999999999E-2</v>
      </c>
      <c r="M78" t="s">
        <v>29</v>
      </c>
      <c r="N78" t="s">
        <v>30</v>
      </c>
      <c r="O78">
        <v>0</v>
      </c>
      <c r="P78" s="1">
        <v>46022</v>
      </c>
      <c r="R78" s="7"/>
      <c r="S78" s="7"/>
    </row>
    <row r="79" spans="1:19" x14ac:dyDescent="0.3">
      <c r="A79" t="s">
        <v>126</v>
      </c>
      <c r="B79" t="s">
        <v>24</v>
      </c>
      <c r="C79" t="s">
        <v>28</v>
      </c>
      <c r="D79" s="5">
        <v>10119</v>
      </c>
      <c r="E79">
        <v>2411.5700000000002</v>
      </c>
      <c r="F79" t="s">
        <v>33</v>
      </c>
      <c r="G79">
        <v>312</v>
      </c>
      <c r="H79" s="1">
        <f t="shared" si="1"/>
        <v>54878</v>
      </c>
      <c r="I79" t="s">
        <v>15</v>
      </c>
      <c r="J79" s="1">
        <v>45369</v>
      </c>
      <c r="K79" t="s">
        <v>22</v>
      </c>
      <c r="L79" s="3">
        <v>7.3599999999999999E-2</v>
      </c>
      <c r="M79" t="s">
        <v>29</v>
      </c>
      <c r="N79" t="s">
        <v>30</v>
      </c>
      <c r="O79">
        <v>0</v>
      </c>
      <c r="P79" s="1">
        <v>46022</v>
      </c>
      <c r="R79" s="7"/>
      <c r="S79" s="7"/>
    </row>
    <row r="80" spans="1:19" x14ac:dyDescent="0.3">
      <c r="A80" t="s">
        <v>127</v>
      </c>
      <c r="B80" t="s">
        <v>24</v>
      </c>
      <c r="C80" t="s">
        <v>28</v>
      </c>
      <c r="D80" s="5">
        <v>40330</v>
      </c>
      <c r="E80">
        <v>24816.63</v>
      </c>
      <c r="F80" t="s">
        <v>14</v>
      </c>
      <c r="G80">
        <v>204</v>
      </c>
      <c r="H80" s="1">
        <f t="shared" si="1"/>
        <v>48913</v>
      </c>
      <c r="I80" t="s">
        <v>15</v>
      </c>
      <c r="J80" s="1">
        <v>42696</v>
      </c>
      <c r="K80" t="s">
        <v>22</v>
      </c>
      <c r="L80" s="3">
        <v>4.0800000000000003E-2</v>
      </c>
      <c r="M80" t="s">
        <v>29</v>
      </c>
      <c r="N80" t="s">
        <v>30</v>
      </c>
      <c r="O80">
        <v>0</v>
      </c>
      <c r="P80" s="1">
        <v>46022</v>
      </c>
      <c r="R80" s="7"/>
      <c r="S80" s="7"/>
    </row>
    <row r="81" spans="1:19" x14ac:dyDescent="0.3">
      <c r="A81" t="s">
        <v>128</v>
      </c>
      <c r="B81" t="s">
        <v>37</v>
      </c>
      <c r="C81" t="s">
        <v>78</v>
      </c>
      <c r="D81" s="5">
        <v>234511575</v>
      </c>
      <c r="E81">
        <v>81917536.359999999</v>
      </c>
      <c r="F81" t="s">
        <v>33</v>
      </c>
      <c r="G81">
        <v>180</v>
      </c>
      <c r="H81" s="1">
        <f t="shared" si="1"/>
        <v>47514</v>
      </c>
      <c r="I81" t="s">
        <v>15</v>
      </c>
      <c r="J81" s="1">
        <v>42026</v>
      </c>
      <c r="K81" t="s">
        <v>16</v>
      </c>
      <c r="L81" s="3">
        <v>9.2899999999999996E-2</v>
      </c>
      <c r="M81" t="s">
        <v>29</v>
      </c>
      <c r="N81" t="s">
        <v>30</v>
      </c>
      <c r="O81">
        <v>0</v>
      </c>
      <c r="P81" s="1">
        <v>46022</v>
      </c>
      <c r="R81" s="7"/>
      <c r="S81" s="7"/>
    </row>
    <row r="82" spans="1:19" x14ac:dyDescent="0.3">
      <c r="A82" t="s">
        <v>129</v>
      </c>
      <c r="B82" t="s">
        <v>37</v>
      </c>
      <c r="C82" t="s">
        <v>38</v>
      </c>
      <c r="D82" s="5">
        <v>246654747</v>
      </c>
      <c r="E82">
        <v>229185859.19999999</v>
      </c>
      <c r="F82" t="s">
        <v>14</v>
      </c>
      <c r="G82">
        <v>60</v>
      </c>
      <c r="H82" s="1">
        <f t="shared" si="1"/>
        <v>46812</v>
      </c>
      <c r="I82" t="s">
        <v>15</v>
      </c>
      <c r="J82" s="1">
        <v>44981</v>
      </c>
      <c r="K82" t="s">
        <v>22</v>
      </c>
      <c r="L82" s="3">
        <v>7.6700000000000004E-2</v>
      </c>
      <c r="M82" t="s">
        <v>17</v>
      </c>
      <c r="N82" t="s">
        <v>18</v>
      </c>
      <c r="O82">
        <v>471777640.19999999</v>
      </c>
      <c r="P82" s="1">
        <v>46022</v>
      </c>
      <c r="R82" s="7"/>
      <c r="S82" s="7"/>
    </row>
    <row r="83" spans="1:19" x14ac:dyDescent="0.3">
      <c r="A83" t="s">
        <v>130</v>
      </c>
      <c r="B83" t="s">
        <v>24</v>
      </c>
      <c r="C83" t="s">
        <v>32</v>
      </c>
      <c r="D83" s="5">
        <v>7541</v>
      </c>
      <c r="E83">
        <v>4711.8599999999997</v>
      </c>
      <c r="F83" t="s">
        <v>33</v>
      </c>
      <c r="G83">
        <v>186</v>
      </c>
      <c r="H83" s="1">
        <f t="shared" si="1"/>
        <v>46934</v>
      </c>
      <c r="I83" t="s">
        <v>15</v>
      </c>
      <c r="J83" s="1">
        <v>41255</v>
      </c>
      <c r="K83" t="s">
        <v>22</v>
      </c>
      <c r="L83" s="3">
        <v>4.0199999999999993E-2</v>
      </c>
      <c r="M83" t="s">
        <v>29</v>
      </c>
      <c r="N83" t="s">
        <v>30</v>
      </c>
      <c r="O83">
        <v>0</v>
      </c>
      <c r="P83" s="1">
        <v>46022</v>
      </c>
      <c r="R83" s="7"/>
      <c r="S83" s="7"/>
    </row>
    <row r="84" spans="1:19" x14ac:dyDescent="0.3">
      <c r="A84" t="s">
        <v>131</v>
      </c>
      <c r="B84" t="s">
        <v>24</v>
      </c>
      <c r="C84" t="s">
        <v>28</v>
      </c>
      <c r="D84" s="5">
        <v>4949</v>
      </c>
      <c r="E84">
        <v>3135.77</v>
      </c>
      <c r="F84" t="s">
        <v>48</v>
      </c>
      <c r="G84">
        <v>84</v>
      </c>
      <c r="H84" s="1">
        <f t="shared" si="1"/>
        <v>46295</v>
      </c>
      <c r="I84" t="s">
        <v>15</v>
      </c>
      <c r="J84" s="1">
        <v>43725</v>
      </c>
      <c r="K84" t="s">
        <v>39</v>
      </c>
      <c r="L84" s="3">
        <v>5.8299999999999998E-2</v>
      </c>
      <c r="M84" t="s">
        <v>29</v>
      </c>
      <c r="N84" t="s">
        <v>30</v>
      </c>
      <c r="O84">
        <v>0</v>
      </c>
      <c r="P84" s="1">
        <v>46022</v>
      </c>
      <c r="R84" s="7"/>
      <c r="S84" s="7"/>
    </row>
    <row r="85" spans="1:19" x14ac:dyDescent="0.3">
      <c r="A85" t="s">
        <v>132</v>
      </c>
      <c r="B85" t="s">
        <v>24</v>
      </c>
      <c r="C85" t="s">
        <v>25</v>
      </c>
      <c r="D85" s="5">
        <v>755145</v>
      </c>
      <c r="E85">
        <v>316732.28000000003</v>
      </c>
      <c r="F85" t="s">
        <v>14</v>
      </c>
      <c r="G85">
        <v>270</v>
      </c>
      <c r="H85" s="1">
        <f t="shared" si="1"/>
        <v>52656</v>
      </c>
      <c r="I85" t="s">
        <v>15</v>
      </c>
      <c r="J85" s="1">
        <v>44411</v>
      </c>
      <c r="K85" t="s">
        <v>35</v>
      </c>
      <c r="L85" s="3">
        <v>2.81E-2</v>
      </c>
      <c r="M85" t="s">
        <v>17</v>
      </c>
      <c r="N85" t="s">
        <v>26</v>
      </c>
      <c r="O85">
        <v>1012103.36</v>
      </c>
      <c r="P85" s="1">
        <v>46022</v>
      </c>
      <c r="R85" s="7"/>
      <c r="S85" s="7"/>
    </row>
    <row r="86" spans="1:19" x14ac:dyDescent="0.3">
      <c r="A86" t="s">
        <v>133</v>
      </c>
      <c r="B86" t="s">
        <v>24</v>
      </c>
      <c r="C86" t="s">
        <v>25</v>
      </c>
      <c r="D86" s="5">
        <v>546815</v>
      </c>
      <c r="E86">
        <v>80267.210000000006</v>
      </c>
      <c r="F86" t="s">
        <v>14</v>
      </c>
      <c r="G86">
        <v>60</v>
      </c>
      <c r="H86" s="1">
        <f t="shared" si="1"/>
        <v>46630</v>
      </c>
      <c r="I86" t="s">
        <v>15</v>
      </c>
      <c r="J86" s="1">
        <v>44776</v>
      </c>
      <c r="K86" t="s">
        <v>22</v>
      </c>
      <c r="L86" s="3">
        <v>5.4900000000000004E-2</v>
      </c>
      <c r="M86" t="s">
        <v>17</v>
      </c>
      <c r="N86" t="s">
        <v>26</v>
      </c>
      <c r="O86">
        <v>735760.77</v>
      </c>
      <c r="P86" s="1">
        <v>46022</v>
      </c>
      <c r="R86" s="7"/>
      <c r="S86" s="7"/>
    </row>
    <row r="87" spans="1:19" x14ac:dyDescent="0.3">
      <c r="A87" t="s">
        <v>134</v>
      </c>
      <c r="B87" t="s">
        <v>24</v>
      </c>
      <c r="C87" t="s">
        <v>32</v>
      </c>
      <c r="D87" s="5">
        <v>22406</v>
      </c>
      <c r="E87">
        <v>2880.68</v>
      </c>
      <c r="F87" t="s">
        <v>33</v>
      </c>
      <c r="G87">
        <v>270</v>
      </c>
      <c r="H87" s="1">
        <f t="shared" si="1"/>
        <v>50283</v>
      </c>
      <c r="I87" t="s">
        <v>15</v>
      </c>
      <c r="J87" s="1">
        <v>42055</v>
      </c>
      <c r="K87" t="s">
        <v>39</v>
      </c>
      <c r="L87" s="3">
        <v>6.9099999999999995E-2</v>
      </c>
      <c r="M87" t="s">
        <v>29</v>
      </c>
      <c r="N87" t="s">
        <v>30</v>
      </c>
      <c r="O87">
        <v>0</v>
      </c>
      <c r="P87" s="1">
        <v>46022</v>
      </c>
      <c r="R87" s="7"/>
      <c r="S87" s="7"/>
    </row>
    <row r="88" spans="1:19" x14ac:dyDescent="0.3">
      <c r="A88" t="s">
        <v>135</v>
      </c>
      <c r="B88" t="s">
        <v>24</v>
      </c>
      <c r="C88" t="s">
        <v>25</v>
      </c>
      <c r="D88" s="5">
        <v>756557</v>
      </c>
      <c r="E88">
        <v>363905.35</v>
      </c>
      <c r="F88" t="s">
        <v>14</v>
      </c>
      <c r="G88">
        <v>120</v>
      </c>
      <c r="H88" s="1">
        <f t="shared" si="1"/>
        <v>45688</v>
      </c>
      <c r="I88" t="s">
        <v>15</v>
      </c>
      <c r="J88" s="1">
        <v>42023</v>
      </c>
      <c r="K88" t="s">
        <v>16</v>
      </c>
      <c r="L88" s="3">
        <v>9.4E-2</v>
      </c>
      <c r="M88" t="s">
        <v>17</v>
      </c>
      <c r="N88" t="s">
        <v>26</v>
      </c>
      <c r="O88">
        <v>903616.62</v>
      </c>
      <c r="P88" s="1">
        <v>46022</v>
      </c>
      <c r="R88" s="7"/>
      <c r="S88" s="7"/>
    </row>
    <row r="89" spans="1:19" x14ac:dyDescent="0.3">
      <c r="A89" t="s">
        <v>136</v>
      </c>
      <c r="B89" t="s">
        <v>37</v>
      </c>
      <c r="C89" t="s">
        <v>78</v>
      </c>
      <c r="D89" s="5">
        <v>385101321</v>
      </c>
      <c r="E89">
        <v>67819746.950000003</v>
      </c>
      <c r="F89" t="s">
        <v>33</v>
      </c>
      <c r="G89">
        <v>36</v>
      </c>
      <c r="H89" s="1">
        <f t="shared" si="1"/>
        <v>46568</v>
      </c>
      <c r="I89" t="s">
        <v>15</v>
      </c>
      <c r="J89" s="1">
        <v>45446</v>
      </c>
      <c r="K89" t="s">
        <v>39</v>
      </c>
      <c r="L89" s="3">
        <v>8.9600000000000013E-2</v>
      </c>
      <c r="M89" t="s">
        <v>17</v>
      </c>
      <c r="N89" t="s">
        <v>26</v>
      </c>
      <c r="O89">
        <v>535813370.60000002</v>
      </c>
      <c r="P89" s="1">
        <v>46022</v>
      </c>
      <c r="R89" s="7"/>
      <c r="S89" s="7"/>
    </row>
    <row r="90" spans="1:19" x14ac:dyDescent="0.3">
      <c r="A90" t="s">
        <v>137</v>
      </c>
      <c r="B90" t="s">
        <v>24</v>
      </c>
      <c r="C90" t="s">
        <v>25</v>
      </c>
      <c r="D90" s="5">
        <v>243017</v>
      </c>
      <c r="E90">
        <v>157028.64000000001</v>
      </c>
      <c r="F90" t="s">
        <v>14</v>
      </c>
      <c r="G90">
        <v>246</v>
      </c>
      <c r="H90" s="1">
        <f t="shared" si="1"/>
        <v>50099</v>
      </c>
      <c r="I90" t="s">
        <v>15</v>
      </c>
      <c r="J90" s="1">
        <v>42601</v>
      </c>
      <c r="K90" t="s">
        <v>39</v>
      </c>
      <c r="L90" s="3">
        <v>6.4100000000000004E-2</v>
      </c>
      <c r="M90" t="s">
        <v>17</v>
      </c>
      <c r="N90" t="s">
        <v>26</v>
      </c>
      <c r="O90">
        <v>297460.76</v>
      </c>
      <c r="P90" s="1">
        <v>46022</v>
      </c>
      <c r="R90" s="7"/>
      <c r="S90" s="7"/>
    </row>
    <row r="91" spans="1:19" x14ac:dyDescent="0.3">
      <c r="A91" t="s">
        <v>138</v>
      </c>
      <c r="B91" t="s">
        <v>37</v>
      </c>
      <c r="C91" t="s">
        <v>74</v>
      </c>
      <c r="D91" s="5">
        <v>309010323</v>
      </c>
      <c r="E91">
        <v>275907810.19999999</v>
      </c>
      <c r="F91" t="s">
        <v>14</v>
      </c>
      <c r="G91">
        <v>192</v>
      </c>
      <c r="H91" s="1">
        <f t="shared" si="1"/>
        <v>47483</v>
      </c>
      <c r="I91" t="s">
        <v>15</v>
      </c>
      <c r="J91" s="1">
        <v>41638</v>
      </c>
      <c r="K91" t="s">
        <v>35</v>
      </c>
      <c r="L91" s="3">
        <v>3.9E-2</v>
      </c>
      <c r="M91" t="s">
        <v>17</v>
      </c>
      <c r="N91" t="s">
        <v>54</v>
      </c>
      <c r="O91">
        <v>386668351.80000001</v>
      </c>
      <c r="P91" s="1">
        <v>46022</v>
      </c>
      <c r="R91" s="7"/>
      <c r="S91" s="7"/>
    </row>
    <row r="92" spans="1:19" x14ac:dyDescent="0.3">
      <c r="A92" t="s">
        <v>139</v>
      </c>
      <c r="B92" t="s">
        <v>12</v>
      </c>
      <c r="C92" t="s">
        <v>61</v>
      </c>
      <c r="D92" s="5">
        <v>7632350</v>
      </c>
      <c r="E92">
        <v>6828078.4400000004</v>
      </c>
      <c r="F92" t="s">
        <v>33</v>
      </c>
      <c r="G92">
        <v>120</v>
      </c>
      <c r="H92" s="1">
        <f t="shared" si="1"/>
        <v>44985</v>
      </c>
      <c r="I92" t="s">
        <v>15</v>
      </c>
      <c r="J92" s="1">
        <v>41318</v>
      </c>
      <c r="K92" t="s">
        <v>16</v>
      </c>
      <c r="L92" s="3">
        <v>9.6300000000000011E-2</v>
      </c>
      <c r="M92" t="s">
        <v>17</v>
      </c>
      <c r="N92" t="s">
        <v>26</v>
      </c>
      <c r="O92">
        <v>9410541.1899999995</v>
      </c>
      <c r="P92" s="1">
        <v>46022</v>
      </c>
      <c r="R92" s="7"/>
      <c r="S92" s="7"/>
    </row>
    <row r="93" spans="1:19" x14ac:dyDescent="0.3">
      <c r="A93" t="s">
        <v>140</v>
      </c>
      <c r="B93" t="s">
        <v>24</v>
      </c>
      <c r="C93" t="s">
        <v>32</v>
      </c>
      <c r="D93" s="5">
        <v>37817</v>
      </c>
      <c r="E93">
        <v>26212.77</v>
      </c>
      <c r="F93" t="s">
        <v>33</v>
      </c>
      <c r="G93">
        <v>342</v>
      </c>
      <c r="H93" s="1">
        <f t="shared" si="1"/>
        <v>50921</v>
      </c>
      <c r="I93" t="s">
        <v>15</v>
      </c>
      <c r="J93" s="1">
        <v>40511</v>
      </c>
      <c r="K93" t="s">
        <v>35</v>
      </c>
      <c r="L93" s="3">
        <v>4.6300000000000001E-2</v>
      </c>
      <c r="M93" t="s">
        <v>29</v>
      </c>
      <c r="N93" t="s">
        <v>30</v>
      </c>
      <c r="O93">
        <v>0</v>
      </c>
      <c r="P93" s="1">
        <v>46022</v>
      </c>
      <c r="R93" s="7"/>
      <c r="S93" s="7"/>
    </row>
    <row r="94" spans="1:19" x14ac:dyDescent="0.3">
      <c r="A94" t="s">
        <v>141</v>
      </c>
      <c r="B94" t="s">
        <v>24</v>
      </c>
      <c r="C94" t="s">
        <v>32</v>
      </c>
      <c r="D94" s="5">
        <v>33191</v>
      </c>
      <c r="E94">
        <v>9628.94</v>
      </c>
      <c r="F94" t="s">
        <v>33</v>
      </c>
      <c r="G94">
        <v>204</v>
      </c>
      <c r="H94" s="1">
        <f t="shared" si="1"/>
        <v>50252</v>
      </c>
      <c r="I94" t="s">
        <v>15</v>
      </c>
      <c r="J94" s="1">
        <v>44033</v>
      </c>
      <c r="K94" t="s">
        <v>39</v>
      </c>
      <c r="L94" s="3">
        <v>5.0799999999999998E-2</v>
      </c>
      <c r="M94" t="s">
        <v>29</v>
      </c>
      <c r="N94" t="s">
        <v>30</v>
      </c>
      <c r="O94">
        <v>0</v>
      </c>
      <c r="P94" s="1">
        <v>46022</v>
      </c>
      <c r="R94" s="7"/>
      <c r="S94" s="7"/>
    </row>
    <row r="95" spans="1:19" x14ac:dyDescent="0.3">
      <c r="A95" t="s">
        <v>142</v>
      </c>
      <c r="B95" t="s">
        <v>20</v>
      </c>
      <c r="C95" t="s">
        <v>21</v>
      </c>
      <c r="D95" s="5">
        <v>4785242</v>
      </c>
      <c r="E95">
        <v>4195208.34</v>
      </c>
      <c r="F95" t="s">
        <v>48</v>
      </c>
      <c r="G95">
        <v>300</v>
      </c>
      <c r="H95" s="1">
        <f t="shared" si="1"/>
        <v>50130</v>
      </c>
      <c r="I95" t="s">
        <v>15</v>
      </c>
      <c r="J95" s="1">
        <v>40969</v>
      </c>
      <c r="K95" t="s">
        <v>22</v>
      </c>
      <c r="L95" s="3">
        <v>4.07E-2</v>
      </c>
      <c r="M95" t="s">
        <v>29</v>
      </c>
      <c r="N95" t="s">
        <v>30</v>
      </c>
      <c r="O95">
        <v>0</v>
      </c>
      <c r="P95" s="1">
        <v>46022</v>
      </c>
      <c r="R95" s="7"/>
      <c r="S95" s="7"/>
    </row>
    <row r="96" spans="1:19" x14ac:dyDescent="0.3">
      <c r="A96" t="s">
        <v>143</v>
      </c>
      <c r="B96" t="s">
        <v>37</v>
      </c>
      <c r="C96" t="s">
        <v>144</v>
      </c>
      <c r="D96" s="5">
        <v>43789428</v>
      </c>
      <c r="E96">
        <v>39300315.030000001</v>
      </c>
      <c r="F96" t="s">
        <v>14</v>
      </c>
      <c r="G96">
        <v>96</v>
      </c>
      <c r="H96" s="1">
        <f t="shared" si="1"/>
        <v>44985</v>
      </c>
      <c r="I96" t="s">
        <v>15</v>
      </c>
      <c r="J96" s="1">
        <v>42055</v>
      </c>
      <c r="K96" t="s">
        <v>16</v>
      </c>
      <c r="L96" s="3">
        <v>9.1400000000000009E-2</v>
      </c>
      <c r="M96" t="s">
        <v>29</v>
      </c>
      <c r="N96" t="s">
        <v>30</v>
      </c>
      <c r="O96">
        <v>0</v>
      </c>
      <c r="P96" s="1">
        <v>46022</v>
      </c>
      <c r="R96" s="7"/>
      <c r="S96" s="7"/>
    </row>
    <row r="97" spans="1:19" x14ac:dyDescent="0.3">
      <c r="A97" t="s">
        <v>145</v>
      </c>
      <c r="B97" t="s">
        <v>24</v>
      </c>
      <c r="C97" t="s">
        <v>32</v>
      </c>
      <c r="D97" s="5">
        <v>379600</v>
      </c>
      <c r="E97">
        <v>1051.3599999999999</v>
      </c>
      <c r="F97" t="s">
        <v>33</v>
      </c>
      <c r="G97">
        <v>150</v>
      </c>
      <c r="H97" s="1">
        <f t="shared" si="1"/>
        <v>47726</v>
      </c>
      <c r="I97" t="s">
        <v>15</v>
      </c>
      <c r="J97" s="1">
        <v>43155</v>
      </c>
      <c r="K97" t="s">
        <v>39</v>
      </c>
      <c r="L97" s="3">
        <v>7.6499999999999999E-2</v>
      </c>
      <c r="M97" t="s">
        <v>29</v>
      </c>
      <c r="N97" t="s">
        <v>30</v>
      </c>
      <c r="O97">
        <v>0</v>
      </c>
      <c r="P97" s="1">
        <v>46022</v>
      </c>
      <c r="R97" s="7"/>
      <c r="S97" s="7"/>
    </row>
    <row r="98" spans="1:19" x14ac:dyDescent="0.3">
      <c r="A98" t="s">
        <v>146</v>
      </c>
      <c r="B98" t="s">
        <v>24</v>
      </c>
      <c r="C98" t="s">
        <v>25</v>
      </c>
      <c r="D98" s="5">
        <v>353968</v>
      </c>
      <c r="E98">
        <v>270319.8</v>
      </c>
      <c r="F98" t="s">
        <v>14</v>
      </c>
      <c r="G98">
        <v>72</v>
      </c>
      <c r="H98" s="1">
        <f t="shared" si="1"/>
        <v>46203</v>
      </c>
      <c r="I98" t="s">
        <v>15</v>
      </c>
      <c r="J98" s="1">
        <v>44009</v>
      </c>
      <c r="K98" t="s">
        <v>39</v>
      </c>
      <c r="L98" s="3">
        <v>6.9400000000000003E-2</v>
      </c>
      <c r="M98" t="s">
        <v>17</v>
      </c>
      <c r="N98" t="s">
        <v>26</v>
      </c>
      <c r="O98">
        <v>499977.86</v>
      </c>
      <c r="P98" s="1">
        <v>46022</v>
      </c>
      <c r="R98" s="7"/>
      <c r="S98" s="7"/>
    </row>
    <row r="99" spans="1:19" x14ac:dyDescent="0.3">
      <c r="A99" t="s">
        <v>147</v>
      </c>
      <c r="B99" t="s">
        <v>24</v>
      </c>
      <c r="C99" t="s">
        <v>32</v>
      </c>
      <c r="D99" s="5">
        <v>13824</v>
      </c>
      <c r="E99">
        <v>4947.01</v>
      </c>
      <c r="F99" t="s">
        <v>33</v>
      </c>
      <c r="G99">
        <v>42</v>
      </c>
      <c r="H99" s="1">
        <f t="shared" si="1"/>
        <v>45535</v>
      </c>
      <c r="I99" t="s">
        <v>15</v>
      </c>
      <c r="J99" s="1">
        <v>44243</v>
      </c>
      <c r="K99" t="s">
        <v>35</v>
      </c>
      <c r="L99" s="3">
        <v>2.4900000000000002E-2</v>
      </c>
      <c r="M99" t="s">
        <v>29</v>
      </c>
      <c r="N99" t="s">
        <v>30</v>
      </c>
      <c r="O99">
        <v>0</v>
      </c>
      <c r="P99" s="1">
        <v>46022</v>
      </c>
      <c r="R99" s="7"/>
      <c r="S99" s="7"/>
    </row>
    <row r="100" spans="1:19" x14ac:dyDescent="0.3">
      <c r="A100" t="s">
        <v>148</v>
      </c>
      <c r="B100" t="s">
        <v>12</v>
      </c>
      <c r="C100" t="s">
        <v>26</v>
      </c>
      <c r="D100" s="5">
        <v>13101961</v>
      </c>
      <c r="E100">
        <v>10774742.09</v>
      </c>
      <c r="F100" t="s">
        <v>14</v>
      </c>
      <c r="G100">
        <v>234</v>
      </c>
      <c r="H100" s="1">
        <f t="shared" si="1"/>
        <v>47907</v>
      </c>
      <c r="I100" t="s">
        <v>15</v>
      </c>
      <c r="J100" s="1">
        <v>40772</v>
      </c>
      <c r="K100" t="s">
        <v>22</v>
      </c>
      <c r="L100" s="3">
        <v>5.8200000000000002E-2</v>
      </c>
      <c r="M100" t="s">
        <v>17</v>
      </c>
      <c r="N100" t="s">
        <v>26</v>
      </c>
      <c r="O100">
        <v>22199942.530000001</v>
      </c>
      <c r="P100" s="1">
        <v>46022</v>
      </c>
      <c r="R100" s="7"/>
      <c r="S100" s="7"/>
    </row>
    <row r="101" spans="1:19" x14ac:dyDescent="0.3">
      <c r="A101" t="s">
        <v>149</v>
      </c>
      <c r="B101" t="s">
        <v>24</v>
      </c>
      <c r="C101" t="s">
        <v>41</v>
      </c>
      <c r="D101" s="5">
        <v>91563</v>
      </c>
      <c r="E101">
        <v>91335.29</v>
      </c>
      <c r="F101" t="s">
        <v>14</v>
      </c>
      <c r="G101">
        <v>102</v>
      </c>
      <c r="H101" s="1">
        <f t="shared" si="1"/>
        <v>45046</v>
      </c>
      <c r="I101" t="s">
        <v>15</v>
      </c>
      <c r="J101" s="1">
        <v>41935</v>
      </c>
      <c r="K101" t="s">
        <v>39</v>
      </c>
      <c r="L101" s="3">
        <v>6.7099999999999993E-2</v>
      </c>
      <c r="M101" t="s">
        <v>17</v>
      </c>
      <c r="N101" t="s">
        <v>42</v>
      </c>
      <c r="O101">
        <v>104853.24</v>
      </c>
      <c r="P101" s="1">
        <v>46022</v>
      </c>
      <c r="R101" s="7"/>
      <c r="S101" s="7"/>
    </row>
    <row r="102" spans="1:19" x14ac:dyDescent="0.3">
      <c r="A102" t="s">
        <v>150</v>
      </c>
      <c r="B102" t="s">
        <v>37</v>
      </c>
      <c r="C102" t="s">
        <v>78</v>
      </c>
      <c r="D102" s="5">
        <v>132277638</v>
      </c>
      <c r="E102">
        <v>16802355.949999999</v>
      </c>
      <c r="F102" t="s">
        <v>14</v>
      </c>
      <c r="G102">
        <v>270</v>
      </c>
      <c r="H102" s="1">
        <f t="shared" si="1"/>
        <v>48913</v>
      </c>
      <c r="I102" t="s">
        <v>15</v>
      </c>
      <c r="J102" s="1">
        <v>40668</v>
      </c>
      <c r="K102" t="s">
        <v>39</v>
      </c>
      <c r="L102" s="3">
        <v>7.2999999999999995E-2</v>
      </c>
      <c r="M102" t="s">
        <v>17</v>
      </c>
      <c r="N102" t="s">
        <v>26</v>
      </c>
      <c r="O102">
        <v>167044467.69999999</v>
      </c>
      <c r="P102" s="1">
        <v>46022</v>
      </c>
      <c r="R102" s="7"/>
      <c r="S102" s="7"/>
    </row>
    <row r="103" spans="1:19" x14ac:dyDescent="0.3">
      <c r="A103" t="s">
        <v>151</v>
      </c>
      <c r="B103" t="s">
        <v>24</v>
      </c>
      <c r="C103" t="s">
        <v>32</v>
      </c>
      <c r="D103" s="5">
        <v>14326</v>
      </c>
      <c r="E103">
        <v>13002.28</v>
      </c>
      <c r="F103" t="s">
        <v>33</v>
      </c>
      <c r="G103">
        <v>60</v>
      </c>
      <c r="H103" s="1">
        <f t="shared" si="1"/>
        <v>46446</v>
      </c>
      <c r="I103" t="s">
        <v>15</v>
      </c>
      <c r="J103" s="1">
        <v>44598</v>
      </c>
      <c r="K103" t="s">
        <v>35</v>
      </c>
      <c r="L103" s="3">
        <v>3.7100000000000001E-2</v>
      </c>
      <c r="M103" t="s">
        <v>29</v>
      </c>
      <c r="N103" t="s">
        <v>30</v>
      </c>
      <c r="O103">
        <v>0</v>
      </c>
      <c r="P103" s="1">
        <v>46022</v>
      </c>
      <c r="R103" s="7"/>
      <c r="S103" s="7"/>
    </row>
    <row r="104" spans="1:19" x14ac:dyDescent="0.3">
      <c r="A104" t="s">
        <v>152</v>
      </c>
      <c r="B104" t="s">
        <v>12</v>
      </c>
      <c r="C104" t="s">
        <v>63</v>
      </c>
      <c r="D104" s="5">
        <v>38210515</v>
      </c>
      <c r="E104" s="4">
        <v>25232981.420000002</v>
      </c>
      <c r="F104" t="s">
        <v>48</v>
      </c>
      <c r="G104">
        <v>60</v>
      </c>
      <c r="H104" s="1">
        <f t="shared" si="1"/>
        <v>46081</v>
      </c>
      <c r="I104" t="s">
        <v>15</v>
      </c>
      <c r="J104" s="1">
        <v>44229</v>
      </c>
      <c r="K104" t="s">
        <v>22</v>
      </c>
      <c r="L104" s="3">
        <v>0.1353</v>
      </c>
      <c r="M104" t="s">
        <v>17</v>
      </c>
      <c r="N104" t="s">
        <v>54</v>
      </c>
      <c r="O104">
        <v>48378711.890000001</v>
      </c>
      <c r="P104" s="1">
        <v>46022</v>
      </c>
      <c r="R104" s="7"/>
      <c r="S104" s="7"/>
    </row>
    <row r="105" spans="1:19" x14ac:dyDescent="0.3">
      <c r="A105" t="s">
        <v>153</v>
      </c>
      <c r="B105" t="s">
        <v>37</v>
      </c>
      <c r="C105" t="s">
        <v>74</v>
      </c>
      <c r="D105" s="5">
        <v>230372523</v>
      </c>
      <c r="E105">
        <v>224853800.90000001</v>
      </c>
      <c r="F105" t="s">
        <v>48</v>
      </c>
      <c r="G105">
        <v>138</v>
      </c>
      <c r="H105" s="1">
        <f t="shared" si="1"/>
        <v>48852</v>
      </c>
      <c r="I105" t="s">
        <v>15</v>
      </c>
      <c r="J105" s="1">
        <v>44637</v>
      </c>
      <c r="K105" t="s">
        <v>16</v>
      </c>
      <c r="L105" s="3">
        <v>9.98E-2</v>
      </c>
      <c r="M105" t="s">
        <v>17</v>
      </c>
      <c r="N105" t="s">
        <v>42</v>
      </c>
      <c r="O105">
        <v>280799335.60000002</v>
      </c>
      <c r="P105" s="1">
        <v>46022</v>
      </c>
      <c r="R105" s="7"/>
      <c r="S105" s="7"/>
    </row>
    <row r="106" spans="1:19" x14ac:dyDescent="0.3">
      <c r="A106" t="s">
        <v>154</v>
      </c>
      <c r="B106" t="s">
        <v>24</v>
      </c>
      <c r="C106" t="s">
        <v>41</v>
      </c>
      <c r="D106" s="5">
        <v>79904</v>
      </c>
      <c r="E106">
        <v>41430.879999999997</v>
      </c>
      <c r="F106" t="s">
        <v>14</v>
      </c>
      <c r="G106">
        <v>162</v>
      </c>
      <c r="H106" s="1">
        <f t="shared" si="1"/>
        <v>49064</v>
      </c>
      <c r="I106" t="s">
        <v>15</v>
      </c>
      <c r="J106" s="1">
        <v>44134</v>
      </c>
      <c r="K106" t="s">
        <v>22</v>
      </c>
      <c r="L106" s="3">
        <v>3.1699999999999999E-2</v>
      </c>
      <c r="M106" t="s">
        <v>17</v>
      </c>
      <c r="N106" t="s">
        <v>42</v>
      </c>
      <c r="O106">
        <v>96838.89</v>
      </c>
      <c r="P106" s="1">
        <v>46022</v>
      </c>
      <c r="R106" s="7"/>
      <c r="S106" s="7"/>
    </row>
    <row r="107" spans="1:19" x14ac:dyDescent="0.3">
      <c r="A107" t="s">
        <v>155</v>
      </c>
      <c r="B107" t="s">
        <v>24</v>
      </c>
      <c r="C107" t="s">
        <v>28</v>
      </c>
      <c r="D107" s="5">
        <v>4203</v>
      </c>
      <c r="E107">
        <v>3625.66</v>
      </c>
      <c r="F107" t="s">
        <v>48</v>
      </c>
      <c r="G107">
        <v>276</v>
      </c>
      <c r="H107" s="1">
        <f t="shared" si="1"/>
        <v>51317</v>
      </c>
      <c r="I107" t="s">
        <v>15</v>
      </c>
      <c r="J107" s="1">
        <v>42893</v>
      </c>
      <c r="K107" t="s">
        <v>39</v>
      </c>
      <c r="L107" s="3">
        <v>6.7500000000000004E-2</v>
      </c>
      <c r="M107" t="s">
        <v>29</v>
      </c>
      <c r="N107" t="s">
        <v>30</v>
      </c>
      <c r="O107">
        <v>0</v>
      </c>
      <c r="P107" s="1">
        <v>46022</v>
      </c>
      <c r="R107" s="7"/>
      <c r="S107" s="7"/>
    </row>
    <row r="108" spans="1:19" x14ac:dyDescent="0.3">
      <c r="A108" t="s">
        <v>156</v>
      </c>
      <c r="B108" t="s">
        <v>24</v>
      </c>
      <c r="C108" t="s">
        <v>32</v>
      </c>
      <c r="D108" s="5">
        <v>24891</v>
      </c>
      <c r="E108">
        <v>3886.84</v>
      </c>
      <c r="F108" t="s">
        <v>33</v>
      </c>
      <c r="G108">
        <v>60</v>
      </c>
      <c r="H108" s="1">
        <f t="shared" si="1"/>
        <v>45291</v>
      </c>
      <c r="I108" t="s">
        <v>15</v>
      </c>
      <c r="J108" s="1">
        <v>43462</v>
      </c>
      <c r="K108" t="s">
        <v>22</v>
      </c>
      <c r="L108" s="3">
        <v>5.4400000000000004E-2</v>
      </c>
      <c r="M108" t="s">
        <v>29</v>
      </c>
      <c r="N108" t="s">
        <v>30</v>
      </c>
      <c r="O108">
        <v>0</v>
      </c>
      <c r="P108" s="1">
        <v>46022</v>
      </c>
      <c r="R108" s="7"/>
      <c r="S108" s="7"/>
    </row>
    <row r="109" spans="1:19" x14ac:dyDescent="0.3">
      <c r="A109" t="s">
        <v>157</v>
      </c>
      <c r="B109" t="s">
        <v>12</v>
      </c>
      <c r="C109" t="s">
        <v>26</v>
      </c>
      <c r="D109" s="5">
        <v>2647066</v>
      </c>
      <c r="E109">
        <v>1063461.96</v>
      </c>
      <c r="F109" t="s">
        <v>14</v>
      </c>
      <c r="G109">
        <v>228</v>
      </c>
      <c r="H109" s="1">
        <f t="shared" si="1"/>
        <v>51713</v>
      </c>
      <c r="I109" t="s">
        <v>15</v>
      </c>
      <c r="J109" s="1">
        <v>44754</v>
      </c>
      <c r="K109" t="s">
        <v>22</v>
      </c>
      <c r="L109" s="3">
        <v>5.0999999999999997E-2</v>
      </c>
      <c r="M109" t="s">
        <v>17</v>
      </c>
      <c r="N109" t="s">
        <v>26</v>
      </c>
      <c r="O109">
        <v>4035671.66</v>
      </c>
      <c r="P109" s="1">
        <v>46022</v>
      </c>
      <c r="R109" s="7"/>
      <c r="S109" s="7"/>
    </row>
    <row r="110" spans="1:19" x14ac:dyDescent="0.3">
      <c r="A110" t="s">
        <v>158</v>
      </c>
      <c r="B110" t="s">
        <v>24</v>
      </c>
      <c r="C110" t="s">
        <v>41</v>
      </c>
      <c r="D110" s="5">
        <v>15639</v>
      </c>
      <c r="E110">
        <v>2507.13</v>
      </c>
      <c r="F110" t="s">
        <v>14</v>
      </c>
      <c r="G110">
        <v>60</v>
      </c>
      <c r="H110" s="1">
        <f t="shared" si="1"/>
        <v>47330</v>
      </c>
      <c r="I110" t="s">
        <v>15</v>
      </c>
      <c r="J110" s="1">
        <v>45497</v>
      </c>
      <c r="K110" t="s">
        <v>22</v>
      </c>
      <c r="L110" s="3">
        <v>6.6600000000000006E-2</v>
      </c>
      <c r="M110" t="s">
        <v>17</v>
      </c>
      <c r="N110" t="s">
        <v>42</v>
      </c>
      <c r="O110">
        <v>16044.15</v>
      </c>
      <c r="P110" s="1">
        <v>46022</v>
      </c>
      <c r="R110" s="7"/>
      <c r="S110" s="7"/>
    </row>
    <row r="111" spans="1:19" x14ac:dyDescent="0.3">
      <c r="A111" t="s">
        <v>159</v>
      </c>
      <c r="B111" t="s">
        <v>24</v>
      </c>
      <c r="C111" t="s">
        <v>32</v>
      </c>
      <c r="D111" s="5">
        <v>45415</v>
      </c>
      <c r="E111">
        <v>44407.62</v>
      </c>
      <c r="F111" t="s">
        <v>33</v>
      </c>
      <c r="G111">
        <v>132</v>
      </c>
      <c r="H111" s="1">
        <f t="shared" si="1"/>
        <v>46904</v>
      </c>
      <c r="I111" t="s">
        <v>15</v>
      </c>
      <c r="J111" s="1">
        <v>42870</v>
      </c>
      <c r="K111" t="s">
        <v>22</v>
      </c>
      <c r="L111" s="3">
        <v>5.1799999999999999E-2</v>
      </c>
      <c r="M111" t="s">
        <v>29</v>
      </c>
      <c r="N111" t="s">
        <v>30</v>
      </c>
      <c r="O111">
        <v>0</v>
      </c>
      <c r="P111" s="1">
        <v>46022</v>
      </c>
      <c r="R111" s="7"/>
      <c r="S111" s="7"/>
    </row>
    <row r="112" spans="1:19" x14ac:dyDescent="0.3">
      <c r="A112" t="s">
        <v>160</v>
      </c>
      <c r="B112" t="s">
        <v>24</v>
      </c>
      <c r="C112" t="s">
        <v>32</v>
      </c>
      <c r="D112" s="5">
        <v>7823</v>
      </c>
      <c r="E112">
        <v>6534.38</v>
      </c>
      <c r="F112" t="s">
        <v>33</v>
      </c>
      <c r="G112">
        <v>120</v>
      </c>
      <c r="H112" s="1">
        <f t="shared" si="1"/>
        <v>47177</v>
      </c>
      <c r="I112" t="s">
        <v>15</v>
      </c>
      <c r="J112" s="1">
        <v>43514</v>
      </c>
      <c r="K112" t="s">
        <v>39</v>
      </c>
      <c r="L112" s="3">
        <v>6.5299999999999997E-2</v>
      </c>
      <c r="M112" t="s">
        <v>29</v>
      </c>
      <c r="N112" t="s">
        <v>30</v>
      </c>
      <c r="O112">
        <v>0</v>
      </c>
      <c r="P112" s="1">
        <v>46022</v>
      </c>
      <c r="R112" s="7"/>
      <c r="S112" s="7"/>
    </row>
    <row r="113" spans="1:19" x14ac:dyDescent="0.3">
      <c r="A113" t="s">
        <v>161</v>
      </c>
      <c r="B113" t="s">
        <v>20</v>
      </c>
      <c r="C113" t="s">
        <v>21</v>
      </c>
      <c r="D113" s="5">
        <v>2685482</v>
      </c>
      <c r="E113">
        <v>2329099.21</v>
      </c>
      <c r="F113" t="s">
        <v>48</v>
      </c>
      <c r="G113">
        <v>150</v>
      </c>
      <c r="H113" s="1">
        <f t="shared" si="1"/>
        <v>46752</v>
      </c>
      <c r="I113" t="s">
        <v>15</v>
      </c>
      <c r="J113" s="1">
        <v>42157</v>
      </c>
      <c r="K113" t="s">
        <v>22</v>
      </c>
      <c r="L113" s="3">
        <v>4.5100000000000001E-2</v>
      </c>
      <c r="M113" t="s">
        <v>17</v>
      </c>
      <c r="N113" t="s">
        <v>18</v>
      </c>
      <c r="O113">
        <v>4891841.72</v>
      </c>
      <c r="P113" s="1">
        <v>46022</v>
      </c>
      <c r="R113" s="7"/>
      <c r="S113" s="7"/>
    </row>
    <row r="114" spans="1:19" x14ac:dyDescent="0.3">
      <c r="A114" t="s">
        <v>162</v>
      </c>
      <c r="B114" t="s">
        <v>24</v>
      </c>
      <c r="C114" t="s">
        <v>28</v>
      </c>
      <c r="D114" s="5">
        <v>21144</v>
      </c>
      <c r="E114">
        <v>19963.2</v>
      </c>
      <c r="F114" t="s">
        <v>33</v>
      </c>
      <c r="G114">
        <v>90</v>
      </c>
      <c r="H114" s="1">
        <f t="shared" si="1"/>
        <v>47208</v>
      </c>
      <c r="I114" t="s">
        <v>15</v>
      </c>
      <c r="J114" s="1">
        <v>44459</v>
      </c>
      <c r="K114" t="s">
        <v>39</v>
      </c>
      <c r="L114" s="3">
        <v>5.4400000000000004E-2</v>
      </c>
      <c r="M114" t="s">
        <v>29</v>
      </c>
      <c r="N114" t="s">
        <v>30</v>
      </c>
      <c r="O114">
        <v>0</v>
      </c>
      <c r="P114" s="1">
        <v>46022</v>
      </c>
      <c r="R114" s="7"/>
      <c r="S114" s="7"/>
    </row>
    <row r="115" spans="1:19" x14ac:dyDescent="0.3">
      <c r="A115" t="s">
        <v>163</v>
      </c>
      <c r="B115" t="s">
        <v>24</v>
      </c>
      <c r="C115" t="s">
        <v>41</v>
      </c>
      <c r="D115" s="5">
        <v>41261</v>
      </c>
      <c r="E115">
        <v>7286.39</v>
      </c>
      <c r="F115" t="s">
        <v>14</v>
      </c>
      <c r="G115">
        <v>360</v>
      </c>
      <c r="H115" s="1">
        <f t="shared" si="1"/>
        <v>55092</v>
      </c>
      <c r="I115" t="s">
        <v>15</v>
      </c>
      <c r="J115" s="1">
        <v>44113</v>
      </c>
      <c r="K115" t="s">
        <v>39</v>
      </c>
      <c r="L115" s="3">
        <v>5.2999999999999999E-2</v>
      </c>
      <c r="M115" t="s">
        <v>17</v>
      </c>
      <c r="N115" t="s">
        <v>42</v>
      </c>
      <c r="O115">
        <v>45711.95</v>
      </c>
      <c r="P115" s="1">
        <v>46022</v>
      </c>
      <c r="R115" s="7"/>
      <c r="S115" s="7"/>
    </row>
    <row r="116" spans="1:19" x14ac:dyDescent="0.3">
      <c r="A116" t="s">
        <v>164</v>
      </c>
      <c r="B116" t="s">
        <v>24</v>
      </c>
      <c r="C116" t="s">
        <v>41</v>
      </c>
      <c r="D116" s="5">
        <v>90985</v>
      </c>
      <c r="E116">
        <v>40673.74</v>
      </c>
      <c r="F116" t="s">
        <v>14</v>
      </c>
      <c r="G116">
        <v>294</v>
      </c>
      <c r="H116" s="1">
        <f t="shared" si="1"/>
        <v>53508</v>
      </c>
      <c r="I116" t="s">
        <v>15</v>
      </c>
      <c r="J116" s="1">
        <v>44539</v>
      </c>
      <c r="K116" t="s">
        <v>39</v>
      </c>
      <c r="L116" s="3">
        <v>5.9500000000000004E-2</v>
      </c>
      <c r="M116" t="s">
        <v>17</v>
      </c>
      <c r="N116" t="s">
        <v>42</v>
      </c>
      <c r="O116">
        <v>107232.46</v>
      </c>
      <c r="P116" s="1">
        <v>46022</v>
      </c>
      <c r="R116" s="7"/>
      <c r="S116" s="7"/>
    </row>
    <row r="117" spans="1:19" x14ac:dyDescent="0.3">
      <c r="A117" t="s">
        <v>165</v>
      </c>
      <c r="B117" t="s">
        <v>24</v>
      </c>
      <c r="C117" t="s">
        <v>25</v>
      </c>
      <c r="D117" s="5">
        <v>119641</v>
      </c>
      <c r="E117">
        <v>19612.93</v>
      </c>
      <c r="F117" t="s">
        <v>14</v>
      </c>
      <c r="G117">
        <v>174</v>
      </c>
      <c r="H117" s="1">
        <f t="shared" si="1"/>
        <v>48060</v>
      </c>
      <c r="I117" t="s">
        <v>15</v>
      </c>
      <c r="J117" s="1">
        <v>42761</v>
      </c>
      <c r="K117" t="s">
        <v>56</v>
      </c>
      <c r="L117" s="3">
        <v>3.3599999999999998E-2</v>
      </c>
      <c r="M117" t="s">
        <v>17</v>
      </c>
      <c r="N117" t="s">
        <v>26</v>
      </c>
      <c r="O117">
        <v>164421.23000000001</v>
      </c>
      <c r="P117" s="1">
        <v>46022</v>
      </c>
      <c r="R117" s="7"/>
      <c r="S117" s="7"/>
    </row>
    <row r="118" spans="1:19" x14ac:dyDescent="0.3">
      <c r="A118" t="s">
        <v>166</v>
      </c>
      <c r="B118" t="s">
        <v>24</v>
      </c>
      <c r="C118" t="s">
        <v>25</v>
      </c>
      <c r="D118" s="5">
        <v>697411</v>
      </c>
      <c r="E118">
        <v>202049.5</v>
      </c>
      <c r="F118" t="s">
        <v>14</v>
      </c>
      <c r="G118">
        <v>60</v>
      </c>
      <c r="H118" s="1">
        <f t="shared" si="1"/>
        <v>45535</v>
      </c>
      <c r="I118" t="s">
        <v>15</v>
      </c>
      <c r="J118" s="1">
        <v>43705</v>
      </c>
      <c r="K118" t="s">
        <v>16</v>
      </c>
      <c r="L118" s="3">
        <v>9.3100000000000002E-2</v>
      </c>
      <c r="M118" t="s">
        <v>17</v>
      </c>
      <c r="N118" t="s">
        <v>26</v>
      </c>
      <c r="O118">
        <v>982649.04</v>
      </c>
      <c r="P118" s="1">
        <v>46022</v>
      </c>
      <c r="R118" s="7"/>
      <c r="S118" s="7"/>
    </row>
    <row r="119" spans="1:19" x14ac:dyDescent="0.3">
      <c r="A119" t="s">
        <v>167</v>
      </c>
      <c r="B119" t="s">
        <v>24</v>
      </c>
      <c r="C119" t="s">
        <v>28</v>
      </c>
      <c r="D119" s="5">
        <v>48206</v>
      </c>
      <c r="E119">
        <v>14771.83</v>
      </c>
      <c r="F119" t="s">
        <v>48</v>
      </c>
      <c r="G119">
        <v>222</v>
      </c>
      <c r="H119" s="1">
        <f t="shared" si="1"/>
        <v>51470</v>
      </c>
      <c r="I119" t="s">
        <v>15</v>
      </c>
      <c r="J119" s="1">
        <v>44685</v>
      </c>
      <c r="K119" t="s">
        <v>22</v>
      </c>
      <c r="L119" s="3">
        <v>5.0799999999999998E-2</v>
      </c>
      <c r="M119" t="s">
        <v>29</v>
      </c>
      <c r="N119" t="s">
        <v>30</v>
      </c>
      <c r="O119">
        <v>0</v>
      </c>
      <c r="P119" s="1">
        <v>46022</v>
      </c>
      <c r="R119" s="7"/>
      <c r="S119" s="7"/>
    </row>
    <row r="120" spans="1:19" x14ac:dyDescent="0.3">
      <c r="A120" t="s">
        <v>168</v>
      </c>
      <c r="B120" t="s">
        <v>24</v>
      </c>
      <c r="C120" t="s">
        <v>32</v>
      </c>
      <c r="D120" s="5">
        <v>28448</v>
      </c>
      <c r="E120">
        <v>14855.57</v>
      </c>
      <c r="F120" t="s">
        <v>33</v>
      </c>
      <c r="G120">
        <v>294</v>
      </c>
      <c r="H120" s="1">
        <f t="shared" si="1"/>
        <v>50890</v>
      </c>
      <c r="I120" t="s">
        <v>15</v>
      </c>
      <c r="J120" s="1">
        <v>41915</v>
      </c>
      <c r="K120" t="s">
        <v>22</v>
      </c>
      <c r="L120" s="3">
        <v>4.7500000000000001E-2</v>
      </c>
      <c r="M120" t="s">
        <v>29</v>
      </c>
      <c r="N120" t="s">
        <v>30</v>
      </c>
      <c r="O120">
        <v>0</v>
      </c>
      <c r="P120" s="1">
        <v>46022</v>
      </c>
      <c r="R120" s="7"/>
      <c r="S120" s="7"/>
    </row>
    <row r="121" spans="1:19" x14ac:dyDescent="0.3">
      <c r="A121" t="s">
        <v>169</v>
      </c>
      <c r="B121" t="s">
        <v>37</v>
      </c>
      <c r="C121" t="s">
        <v>74</v>
      </c>
      <c r="D121" s="5">
        <v>469043006</v>
      </c>
      <c r="E121">
        <v>160274786.40000001</v>
      </c>
      <c r="F121" t="s">
        <v>14</v>
      </c>
      <c r="G121">
        <v>312</v>
      </c>
      <c r="H121" s="1">
        <f t="shared" si="1"/>
        <v>50252</v>
      </c>
      <c r="I121" t="s">
        <v>15</v>
      </c>
      <c r="J121" s="1">
        <v>40750</v>
      </c>
      <c r="K121" t="s">
        <v>35</v>
      </c>
      <c r="L121" s="3">
        <v>4.9100000000000005E-2</v>
      </c>
      <c r="M121" t="s">
        <v>17</v>
      </c>
      <c r="N121" t="s">
        <v>42</v>
      </c>
      <c r="O121">
        <v>706110227</v>
      </c>
      <c r="P121" s="1">
        <v>46022</v>
      </c>
      <c r="R121" s="7"/>
      <c r="S121" s="7"/>
    </row>
    <row r="122" spans="1:19" x14ac:dyDescent="0.3">
      <c r="A122" t="s">
        <v>170</v>
      </c>
      <c r="B122" t="s">
        <v>37</v>
      </c>
      <c r="C122" t="s">
        <v>92</v>
      </c>
      <c r="D122" s="5">
        <v>35606361</v>
      </c>
      <c r="E122">
        <v>6796552.7000000002</v>
      </c>
      <c r="F122" t="s">
        <v>33</v>
      </c>
      <c r="G122">
        <v>198</v>
      </c>
      <c r="H122" s="1">
        <f t="shared" si="1"/>
        <v>48669</v>
      </c>
      <c r="I122" t="s">
        <v>15</v>
      </c>
      <c r="J122" s="1">
        <v>42615</v>
      </c>
      <c r="K122" t="s">
        <v>22</v>
      </c>
      <c r="L122" s="3">
        <v>4.7500000000000001E-2</v>
      </c>
      <c r="M122" t="s">
        <v>17</v>
      </c>
      <c r="N122" t="s">
        <v>42</v>
      </c>
      <c r="O122">
        <v>48262742.159999996</v>
      </c>
      <c r="P122" s="1">
        <v>46022</v>
      </c>
      <c r="R122" s="7"/>
      <c r="S122" s="7"/>
    </row>
    <row r="123" spans="1:19" x14ac:dyDescent="0.3">
      <c r="A123" t="s">
        <v>171</v>
      </c>
      <c r="B123" t="s">
        <v>20</v>
      </c>
      <c r="C123" t="s">
        <v>21</v>
      </c>
      <c r="D123" s="5">
        <v>2123027</v>
      </c>
      <c r="E123">
        <v>532331.98</v>
      </c>
      <c r="F123" t="s">
        <v>48</v>
      </c>
      <c r="G123">
        <v>132</v>
      </c>
      <c r="H123" s="1">
        <f t="shared" si="1"/>
        <v>48304</v>
      </c>
      <c r="I123" t="s">
        <v>15</v>
      </c>
      <c r="J123" s="1">
        <v>44286</v>
      </c>
      <c r="K123" t="s">
        <v>16</v>
      </c>
      <c r="L123" s="3">
        <v>8.0399999999999985E-2</v>
      </c>
      <c r="M123" t="s">
        <v>17</v>
      </c>
      <c r="N123" t="s">
        <v>18</v>
      </c>
      <c r="O123">
        <v>3612708.55</v>
      </c>
      <c r="P123" s="1">
        <v>46022</v>
      </c>
      <c r="R123" s="7"/>
      <c r="S123" s="7"/>
    </row>
    <row r="124" spans="1:19" x14ac:dyDescent="0.3">
      <c r="A124" t="s">
        <v>172</v>
      </c>
      <c r="B124" t="s">
        <v>20</v>
      </c>
      <c r="C124" t="s">
        <v>47</v>
      </c>
      <c r="D124" s="5">
        <v>1337781</v>
      </c>
      <c r="E124">
        <v>311098.32</v>
      </c>
      <c r="F124" t="s">
        <v>33</v>
      </c>
      <c r="G124">
        <v>300</v>
      </c>
      <c r="H124" s="1">
        <f t="shared" si="1"/>
        <v>51043</v>
      </c>
      <c r="I124" t="s">
        <v>15</v>
      </c>
      <c r="J124" s="1">
        <v>41905</v>
      </c>
      <c r="K124" t="s">
        <v>22</v>
      </c>
      <c r="L124" s="3">
        <v>0.05</v>
      </c>
      <c r="M124" t="s">
        <v>17</v>
      </c>
      <c r="N124" t="s">
        <v>54</v>
      </c>
      <c r="O124">
        <v>1987261.95</v>
      </c>
      <c r="P124" s="1">
        <v>46022</v>
      </c>
      <c r="R124" s="7"/>
      <c r="S124" s="7"/>
    </row>
    <row r="125" spans="1:19" x14ac:dyDescent="0.3">
      <c r="A125" t="s">
        <v>173</v>
      </c>
      <c r="B125" t="s">
        <v>24</v>
      </c>
      <c r="C125" t="s">
        <v>25</v>
      </c>
      <c r="D125" s="5">
        <v>757739</v>
      </c>
      <c r="E125">
        <v>739378.19</v>
      </c>
      <c r="F125" t="s">
        <v>14</v>
      </c>
      <c r="G125">
        <v>282</v>
      </c>
      <c r="H125" s="1">
        <f t="shared" si="1"/>
        <v>52778</v>
      </c>
      <c r="I125" t="s">
        <v>15</v>
      </c>
      <c r="J125" s="1">
        <v>44179</v>
      </c>
      <c r="K125" t="s">
        <v>39</v>
      </c>
      <c r="L125" s="3">
        <v>5.0099999999999999E-2</v>
      </c>
      <c r="M125" t="s">
        <v>17</v>
      </c>
      <c r="N125" t="s">
        <v>26</v>
      </c>
      <c r="O125">
        <v>915840.58</v>
      </c>
      <c r="P125" s="1">
        <v>46022</v>
      </c>
      <c r="R125" s="7"/>
      <c r="S125" s="7"/>
    </row>
    <row r="126" spans="1:19" x14ac:dyDescent="0.3">
      <c r="A126" t="s">
        <v>174</v>
      </c>
      <c r="B126" t="s">
        <v>24</v>
      </c>
      <c r="C126" t="s">
        <v>25</v>
      </c>
      <c r="D126" s="5">
        <v>983167</v>
      </c>
      <c r="E126">
        <v>770177.2</v>
      </c>
      <c r="F126" t="s">
        <v>14</v>
      </c>
      <c r="G126">
        <v>60</v>
      </c>
      <c r="H126" s="1">
        <f t="shared" si="1"/>
        <v>47452</v>
      </c>
      <c r="I126" t="s">
        <v>15</v>
      </c>
      <c r="J126" s="1">
        <v>45621</v>
      </c>
      <c r="K126" t="s">
        <v>56</v>
      </c>
      <c r="L126" s="3">
        <v>5.0599999999999999E-2</v>
      </c>
      <c r="M126" t="s">
        <v>17</v>
      </c>
      <c r="N126" t="s">
        <v>26</v>
      </c>
      <c r="O126">
        <v>1182821.3600000001</v>
      </c>
      <c r="P126" s="1">
        <v>46022</v>
      </c>
      <c r="R126" s="7"/>
      <c r="S126" s="7"/>
    </row>
    <row r="127" spans="1:19" x14ac:dyDescent="0.3">
      <c r="A127" t="s">
        <v>175</v>
      </c>
      <c r="B127" t="s">
        <v>12</v>
      </c>
      <c r="C127" t="s">
        <v>26</v>
      </c>
      <c r="D127" s="5">
        <v>13569973</v>
      </c>
      <c r="E127">
        <v>13176244.619999999</v>
      </c>
      <c r="F127" t="s">
        <v>33</v>
      </c>
      <c r="G127">
        <v>234</v>
      </c>
      <c r="H127" s="1">
        <f t="shared" si="1"/>
        <v>52748</v>
      </c>
      <c r="I127" t="s">
        <v>15</v>
      </c>
      <c r="J127" s="1">
        <v>45600</v>
      </c>
      <c r="K127" t="s">
        <v>22</v>
      </c>
      <c r="L127" s="3">
        <v>6.83E-2</v>
      </c>
      <c r="M127" t="s">
        <v>29</v>
      </c>
      <c r="N127" t="s">
        <v>30</v>
      </c>
      <c r="O127">
        <v>0</v>
      </c>
      <c r="P127" s="1">
        <v>46022</v>
      </c>
      <c r="R127" s="7"/>
      <c r="S127" s="7"/>
    </row>
    <row r="128" spans="1:19" x14ac:dyDescent="0.3">
      <c r="A128" t="s">
        <v>176</v>
      </c>
      <c r="B128" t="s">
        <v>12</v>
      </c>
      <c r="C128" t="s">
        <v>61</v>
      </c>
      <c r="D128" s="5">
        <v>33054555</v>
      </c>
      <c r="E128" s="4">
        <v>16387339.220000001</v>
      </c>
      <c r="F128" t="s">
        <v>14</v>
      </c>
      <c r="G128">
        <v>108</v>
      </c>
      <c r="H128" s="1">
        <f t="shared" si="1"/>
        <v>46203</v>
      </c>
      <c r="I128" t="s">
        <v>15</v>
      </c>
      <c r="J128" s="1">
        <v>42897</v>
      </c>
      <c r="K128" t="s">
        <v>22</v>
      </c>
      <c r="L128" s="3">
        <v>0.1484</v>
      </c>
      <c r="M128" t="s">
        <v>29</v>
      </c>
      <c r="N128" t="s">
        <v>30</v>
      </c>
      <c r="O128">
        <v>0</v>
      </c>
      <c r="P128" s="1">
        <v>46022</v>
      </c>
      <c r="R128" s="7"/>
      <c r="S128" s="7"/>
    </row>
    <row r="129" spans="1:19" x14ac:dyDescent="0.3">
      <c r="A129" t="s">
        <v>177</v>
      </c>
      <c r="B129" t="s">
        <v>24</v>
      </c>
      <c r="C129" t="s">
        <v>32</v>
      </c>
      <c r="D129" s="5">
        <v>10707</v>
      </c>
      <c r="E129">
        <v>3753.07</v>
      </c>
      <c r="F129" t="s">
        <v>33</v>
      </c>
      <c r="G129">
        <v>228</v>
      </c>
      <c r="H129" s="1">
        <f t="shared" si="1"/>
        <v>51652</v>
      </c>
      <c r="I129" t="s">
        <v>15</v>
      </c>
      <c r="J129" s="1">
        <v>44697</v>
      </c>
      <c r="K129" t="s">
        <v>39</v>
      </c>
      <c r="L129" s="3">
        <v>7.6100000000000001E-2</v>
      </c>
      <c r="M129" t="s">
        <v>29</v>
      </c>
      <c r="N129" t="s">
        <v>30</v>
      </c>
      <c r="O129">
        <v>0</v>
      </c>
      <c r="P129" s="1">
        <v>46022</v>
      </c>
      <c r="R129" s="7"/>
      <c r="S129" s="7"/>
    </row>
    <row r="130" spans="1:19" x14ac:dyDescent="0.3">
      <c r="A130" t="s">
        <v>178</v>
      </c>
      <c r="B130" t="s">
        <v>12</v>
      </c>
      <c r="C130" t="s">
        <v>13</v>
      </c>
      <c r="D130" s="5">
        <v>28701182</v>
      </c>
      <c r="E130">
        <v>23490881.09</v>
      </c>
      <c r="F130" t="s">
        <v>33</v>
      </c>
      <c r="G130">
        <v>324</v>
      </c>
      <c r="H130" s="1">
        <f t="shared" ref="H130:H193" si="2">EOMONTH(J130,G130)</f>
        <v>52412</v>
      </c>
      <c r="I130" t="s">
        <v>15</v>
      </c>
      <c r="J130" s="1">
        <v>42551</v>
      </c>
      <c r="K130" t="s">
        <v>35</v>
      </c>
      <c r="L130" s="3">
        <v>3.3300000000000003E-2</v>
      </c>
      <c r="M130" t="s">
        <v>17</v>
      </c>
      <c r="N130" t="s">
        <v>18</v>
      </c>
      <c r="O130">
        <v>42083423.119999997</v>
      </c>
      <c r="P130" s="1">
        <v>46022</v>
      </c>
      <c r="R130" s="7"/>
      <c r="S130" s="7"/>
    </row>
    <row r="131" spans="1:19" x14ac:dyDescent="0.3">
      <c r="A131" t="s">
        <v>179</v>
      </c>
      <c r="B131" t="s">
        <v>24</v>
      </c>
      <c r="C131" t="s">
        <v>28</v>
      </c>
      <c r="D131" s="5">
        <v>23733</v>
      </c>
      <c r="E131">
        <v>9341.86</v>
      </c>
      <c r="F131" t="s">
        <v>33</v>
      </c>
      <c r="G131">
        <v>318</v>
      </c>
      <c r="H131" s="1">
        <f t="shared" si="2"/>
        <v>49979</v>
      </c>
      <c r="I131" t="s">
        <v>15</v>
      </c>
      <c r="J131" s="1">
        <v>40270</v>
      </c>
      <c r="K131" t="s">
        <v>22</v>
      </c>
      <c r="L131" s="3">
        <v>5.3399999999999996E-2</v>
      </c>
      <c r="M131" t="s">
        <v>29</v>
      </c>
      <c r="N131" t="s">
        <v>30</v>
      </c>
      <c r="O131">
        <v>0</v>
      </c>
      <c r="P131" s="1">
        <v>46022</v>
      </c>
      <c r="R131" s="7"/>
      <c r="S131" s="7"/>
    </row>
    <row r="132" spans="1:19" x14ac:dyDescent="0.3">
      <c r="A132" t="s">
        <v>180</v>
      </c>
      <c r="B132" t="s">
        <v>12</v>
      </c>
      <c r="C132" t="s">
        <v>61</v>
      </c>
      <c r="D132" s="5">
        <v>48628261</v>
      </c>
      <c r="E132">
        <v>17965469.710000001</v>
      </c>
      <c r="F132" t="s">
        <v>14</v>
      </c>
      <c r="G132">
        <v>222</v>
      </c>
      <c r="H132" s="1">
        <f t="shared" si="2"/>
        <v>48791</v>
      </c>
      <c r="I132" t="s">
        <v>15</v>
      </c>
      <c r="J132" s="1">
        <v>42019</v>
      </c>
      <c r="K132" t="s">
        <v>35</v>
      </c>
      <c r="L132" s="3">
        <v>3.1099999999999999E-2</v>
      </c>
      <c r="M132" t="s">
        <v>17</v>
      </c>
      <c r="N132" t="s">
        <v>18</v>
      </c>
      <c r="O132">
        <v>83926440.659999996</v>
      </c>
      <c r="P132" s="1">
        <v>46022</v>
      </c>
      <c r="R132" s="7"/>
      <c r="S132" s="7"/>
    </row>
    <row r="133" spans="1:19" x14ac:dyDescent="0.3">
      <c r="A133" t="s">
        <v>181</v>
      </c>
      <c r="B133" t="s">
        <v>24</v>
      </c>
      <c r="C133" t="s">
        <v>28</v>
      </c>
      <c r="D133" s="5">
        <v>30818</v>
      </c>
      <c r="E133">
        <v>9530.58</v>
      </c>
      <c r="F133" t="s">
        <v>14</v>
      </c>
      <c r="G133">
        <v>180</v>
      </c>
      <c r="H133" s="1">
        <f t="shared" si="2"/>
        <v>46843</v>
      </c>
      <c r="I133" t="s">
        <v>15</v>
      </c>
      <c r="J133" s="1">
        <v>41344</v>
      </c>
      <c r="K133" t="s">
        <v>22</v>
      </c>
      <c r="L133" s="3">
        <v>5.1100000000000007E-2</v>
      </c>
      <c r="M133" t="s">
        <v>29</v>
      </c>
      <c r="N133" t="s">
        <v>30</v>
      </c>
      <c r="O133">
        <v>0</v>
      </c>
      <c r="P133" s="1">
        <v>46022</v>
      </c>
      <c r="R133" s="7"/>
      <c r="S133" s="7"/>
    </row>
    <row r="134" spans="1:19" x14ac:dyDescent="0.3">
      <c r="A134" t="s">
        <v>182</v>
      </c>
      <c r="B134" t="s">
        <v>37</v>
      </c>
      <c r="C134" t="s">
        <v>92</v>
      </c>
      <c r="D134" s="5">
        <v>181258122</v>
      </c>
      <c r="E134">
        <v>39280643.520000003</v>
      </c>
      <c r="F134" t="s">
        <v>14</v>
      </c>
      <c r="G134">
        <v>306</v>
      </c>
      <c r="H134" s="1">
        <f t="shared" si="2"/>
        <v>52748</v>
      </c>
      <c r="I134" t="s">
        <v>15</v>
      </c>
      <c r="J134" s="1">
        <v>43413</v>
      </c>
      <c r="K134" t="s">
        <v>39</v>
      </c>
      <c r="L134" s="3">
        <v>7.0800000000000002E-2</v>
      </c>
      <c r="M134" t="s">
        <v>17</v>
      </c>
      <c r="N134" t="s">
        <v>26</v>
      </c>
      <c r="O134">
        <v>214498432.30000001</v>
      </c>
      <c r="P134" s="1">
        <v>46022</v>
      </c>
      <c r="R134" s="7"/>
      <c r="S134" s="7"/>
    </row>
    <row r="135" spans="1:19" x14ac:dyDescent="0.3">
      <c r="A135" t="s">
        <v>183</v>
      </c>
      <c r="B135" t="s">
        <v>20</v>
      </c>
      <c r="C135" t="s">
        <v>47</v>
      </c>
      <c r="D135" s="5">
        <v>614774</v>
      </c>
      <c r="E135">
        <v>203377.59</v>
      </c>
      <c r="F135" t="s">
        <v>33</v>
      </c>
      <c r="G135">
        <v>186</v>
      </c>
      <c r="H135" s="1">
        <f t="shared" si="2"/>
        <v>49187</v>
      </c>
      <c r="I135" t="s">
        <v>15</v>
      </c>
      <c r="J135" s="1">
        <v>43504</v>
      </c>
      <c r="K135" t="s">
        <v>39</v>
      </c>
      <c r="L135" s="3">
        <v>6.7099999999999993E-2</v>
      </c>
      <c r="M135" t="s">
        <v>17</v>
      </c>
      <c r="N135" t="s">
        <v>54</v>
      </c>
      <c r="O135">
        <v>1056370.95</v>
      </c>
      <c r="P135" s="1">
        <v>46022</v>
      </c>
      <c r="R135" s="7"/>
      <c r="S135" s="7"/>
    </row>
    <row r="136" spans="1:19" x14ac:dyDescent="0.3">
      <c r="A136" t="s">
        <v>184</v>
      </c>
      <c r="B136" t="s">
        <v>24</v>
      </c>
      <c r="C136" t="s">
        <v>28</v>
      </c>
      <c r="D136" s="5">
        <v>8411</v>
      </c>
      <c r="E136">
        <v>3530.87</v>
      </c>
      <c r="F136" t="s">
        <v>33</v>
      </c>
      <c r="G136">
        <v>120</v>
      </c>
      <c r="H136" s="1">
        <f t="shared" si="2"/>
        <v>45838</v>
      </c>
      <c r="I136" t="s">
        <v>15</v>
      </c>
      <c r="J136" s="1">
        <v>42181</v>
      </c>
      <c r="K136" t="s">
        <v>35</v>
      </c>
      <c r="L136" s="3">
        <v>3.44E-2</v>
      </c>
      <c r="M136" t="s">
        <v>29</v>
      </c>
      <c r="N136" t="s">
        <v>30</v>
      </c>
      <c r="O136">
        <v>0</v>
      </c>
      <c r="P136" s="1">
        <v>46022</v>
      </c>
      <c r="R136" s="7"/>
      <c r="S136" s="7"/>
    </row>
    <row r="137" spans="1:19" x14ac:dyDescent="0.3">
      <c r="A137" t="s">
        <v>185</v>
      </c>
      <c r="B137" t="s">
        <v>24</v>
      </c>
      <c r="C137" t="s">
        <v>41</v>
      </c>
      <c r="D137" s="5">
        <v>30279</v>
      </c>
      <c r="E137">
        <v>21394.639999999999</v>
      </c>
      <c r="F137" t="s">
        <v>14</v>
      </c>
      <c r="G137">
        <v>90</v>
      </c>
      <c r="H137" s="1">
        <f t="shared" si="2"/>
        <v>48029</v>
      </c>
      <c r="I137" t="s">
        <v>15</v>
      </c>
      <c r="J137" s="1">
        <v>45261</v>
      </c>
      <c r="K137" t="s">
        <v>16</v>
      </c>
      <c r="L137" s="3">
        <v>0.12089999999999999</v>
      </c>
      <c r="M137" t="s">
        <v>17</v>
      </c>
      <c r="N137" t="s">
        <v>42</v>
      </c>
      <c r="O137">
        <v>33484.550000000003</v>
      </c>
      <c r="P137" s="1">
        <v>46022</v>
      </c>
      <c r="R137" s="7"/>
      <c r="S137" s="7"/>
    </row>
    <row r="138" spans="1:19" x14ac:dyDescent="0.3">
      <c r="A138" t="s">
        <v>186</v>
      </c>
      <c r="B138" t="s">
        <v>24</v>
      </c>
      <c r="C138" t="s">
        <v>32</v>
      </c>
      <c r="D138" s="5">
        <v>13297</v>
      </c>
      <c r="E138">
        <v>2078.4899999999998</v>
      </c>
      <c r="F138" t="s">
        <v>33</v>
      </c>
      <c r="G138">
        <v>252</v>
      </c>
      <c r="H138" s="1">
        <f t="shared" si="2"/>
        <v>49217</v>
      </c>
      <c r="I138" t="s">
        <v>15</v>
      </c>
      <c r="J138" s="1">
        <v>41547</v>
      </c>
      <c r="K138" t="s">
        <v>22</v>
      </c>
      <c r="L138" s="3">
        <v>4.6199999999999998E-2</v>
      </c>
      <c r="M138" t="s">
        <v>29</v>
      </c>
      <c r="N138" t="s">
        <v>30</v>
      </c>
      <c r="O138">
        <v>0</v>
      </c>
      <c r="P138" s="1">
        <v>46022</v>
      </c>
      <c r="R138" s="7"/>
      <c r="S138" s="7"/>
    </row>
    <row r="139" spans="1:19" x14ac:dyDescent="0.3">
      <c r="A139" t="s">
        <v>187</v>
      </c>
      <c r="B139" t="s">
        <v>24</v>
      </c>
      <c r="C139" t="s">
        <v>41</v>
      </c>
      <c r="D139" s="5">
        <v>86555</v>
      </c>
      <c r="E139">
        <v>25054.02</v>
      </c>
      <c r="F139" t="s">
        <v>14</v>
      </c>
      <c r="G139">
        <v>354</v>
      </c>
      <c r="H139" s="1">
        <f t="shared" si="2"/>
        <v>51501</v>
      </c>
      <c r="I139" t="s">
        <v>15</v>
      </c>
      <c r="J139" s="1">
        <v>40697</v>
      </c>
      <c r="K139" t="s">
        <v>22</v>
      </c>
      <c r="L139" s="3">
        <v>5.1900000000000002E-2</v>
      </c>
      <c r="M139" t="s">
        <v>17</v>
      </c>
      <c r="N139" t="s">
        <v>42</v>
      </c>
      <c r="O139">
        <v>103731.28</v>
      </c>
      <c r="P139" s="1">
        <v>46022</v>
      </c>
      <c r="R139" s="7"/>
      <c r="S139" s="7"/>
    </row>
    <row r="140" spans="1:19" x14ac:dyDescent="0.3">
      <c r="A140" t="s">
        <v>188</v>
      </c>
      <c r="B140" t="s">
        <v>37</v>
      </c>
      <c r="C140" t="s">
        <v>74</v>
      </c>
      <c r="D140" s="5">
        <v>284999166</v>
      </c>
      <c r="E140">
        <v>236013873.30000001</v>
      </c>
      <c r="F140" t="s">
        <v>33</v>
      </c>
      <c r="G140">
        <v>288</v>
      </c>
      <c r="H140" s="1">
        <f t="shared" si="2"/>
        <v>49278</v>
      </c>
      <c r="I140" t="s">
        <v>15</v>
      </c>
      <c r="J140" s="1">
        <v>40507</v>
      </c>
      <c r="K140" t="s">
        <v>22</v>
      </c>
      <c r="L140" s="3">
        <v>5.4199999999999998E-2</v>
      </c>
      <c r="M140" t="s">
        <v>29</v>
      </c>
      <c r="N140" t="s">
        <v>30</v>
      </c>
      <c r="O140">
        <v>0</v>
      </c>
      <c r="P140" s="1">
        <v>46022</v>
      </c>
      <c r="R140" s="7"/>
      <c r="S140" s="7"/>
    </row>
    <row r="141" spans="1:19" x14ac:dyDescent="0.3">
      <c r="A141" t="s">
        <v>189</v>
      </c>
      <c r="B141" t="s">
        <v>24</v>
      </c>
      <c r="C141" t="s">
        <v>25</v>
      </c>
      <c r="D141" s="5">
        <v>571052</v>
      </c>
      <c r="E141">
        <v>132615.21</v>
      </c>
      <c r="F141" t="s">
        <v>14</v>
      </c>
      <c r="G141">
        <v>264</v>
      </c>
      <c r="H141" s="1">
        <f t="shared" si="2"/>
        <v>51409</v>
      </c>
      <c r="I141" t="s">
        <v>15</v>
      </c>
      <c r="J141" s="1">
        <v>43353</v>
      </c>
      <c r="K141" t="s">
        <v>39</v>
      </c>
      <c r="L141" s="3">
        <v>7.0900000000000005E-2</v>
      </c>
      <c r="M141" t="s">
        <v>17</v>
      </c>
      <c r="N141" t="s">
        <v>26</v>
      </c>
      <c r="O141">
        <v>763214.43</v>
      </c>
      <c r="P141" s="1">
        <v>46022</v>
      </c>
      <c r="R141" s="7"/>
      <c r="S141" s="7"/>
    </row>
    <row r="142" spans="1:19" x14ac:dyDescent="0.3">
      <c r="A142" t="s">
        <v>190</v>
      </c>
      <c r="B142" t="s">
        <v>12</v>
      </c>
      <c r="C142" t="s">
        <v>61</v>
      </c>
      <c r="D142" s="5">
        <v>6623675</v>
      </c>
      <c r="E142">
        <v>2704980.47</v>
      </c>
      <c r="F142" t="s">
        <v>14</v>
      </c>
      <c r="G142">
        <v>120</v>
      </c>
      <c r="H142" s="1">
        <f t="shared" si="2"/>
        <v>45138</v>
      </c>
      <c r="I142" t="s">
        <v>15</v>
      </c>
      <c r="J142" s="1">
        <v>41458</v>
      </c>
      <c r="K142" t="s">
        <v>22</v>
      </c>
      <c r="L142" s="3">
        <v>4.7300000000000002E-2</v>
      </c>
      <c r="M142" t="s">
        <v>29</v>
      </c>
      <c r="N142" t="s">
        <v>30</v>
      </c>
      <c r="O142">
        <v>0</v>
      </c>
      <c r="P142" s="1">
        <v>46022</v>
      </c>
      <c r="R142" s="7"/>
      <c r="S142" s="7"/>
    </row>
    <row r="143" spans="1:19" x14ac:dyDescent="0.3">
      <c r="A143" t="s">
        <v>191</v>
      </c>
      <c r="B143" t="s">
        <v>24</v>
      </c>
      <c r="C143" t="s">
        <v>41</v>
      </c>
      <c r="D143" s="5">
        <v>87413</v>
      </c>
      <c r="E143">
        <v>76765.11</v>
      </c>
      <c r="F143" t="s">
        <v>14</v>
      </c>
      <c r="G143">
        <v>138</v>
      </c>
      <c r="H143" s="1">
        <f t="shared" si="2"/>
        <v>48760</v>
      </c>
      <c r="I143" t="s">
        <v>15</v>
      </c>
      <c r="J143" s="1">
        <v>44544</v>
      </c>
      <c r="K143" t="s">
        <v>22</v>
      </c>
      <c r="L143" s="3">
        <v>4.0599999999999997E-2</v>
      </c>
      <c r="M143" t="s">
        <v>17</v>
      </c>
      <c r="N143" t="s">
        <v>42</v>
      </c>
      <c r="O143">
        <v>103934.33</v>
      </c>
      <c r="P143" s="1">
        <v>46022</v>
      </c>
      <c r="R143" s="7"/>
      <c r="S143" s="7"/>
    </row>
    <row r="144" spans="1:19" x14ac:dyDescent="0.3">
      <c r="A144" t="s">
        <v>192</v>
      </c>
      <c r="B144" t="s">
        <v>20</v>
      </c>
      <c r="C144" t="s">
        <v>47</v>
      </c>
      <c r="D144" s="5">
        <v>3627931</v>
      </c>
      <c r="E144">
        <v>868645.56</v>
      </c>
      <c r="F144" t="s">
        <v>48</v>
      </c>
      <c r="G144">
        <v>198</v>
      </c>
      <c r="H144" s="1">
        <f t="shared" si="2"/>
        <v>47514</v>
      </c>
      <c r="I144" t="s">
        <v>15</v>
      </c>
      <c r="J144" s="1">
        <v>41479</v>
      </c>
      <c r="K144" t="s">
        <v>22</v>
      </c>
      <c r="L144" s="3">
        <v>4.5599999999999995E-2</v>
      </c>
      <c r="M144" t="s">
        <v>17</v>
      </c>
      <c r="N144" t="s">
        <v>54</v>
      </c>
      <c r="O144">
        <v>4805693.34</v>
      </c>
      <c r="P144" s="1">
        <v>46022</v>
      </c>
      <c r="R144" s="7"/>
      <c r="S144" s="7"/>
    </row>
    <row r="145" spans="1:19" x14ac:dyDescent="0.3">
      <c r="A145" t="s">
        <v>193</v>
      </c>
      <c r="B145" t="s">
        <v>24</v>
      </c>
      <c r="C145" t="s">
        <v>28</v>
      </c>
      <c r="D145" s="5">
        <v>4316</v>
      </c>
      <c r="E145">
        <v>752.94</v>
      </c>
      <c r="F145" t="s">
        <v>33</v>
      </c>
      <c r="G145">
        <v>150</v>
      </c>
      <c r="H145" s="1">
        <f t="shared" si="2"/>
        <v>45716</v>
      </c>
      <c r="I145" t="s">
        <v>15</v>
      </c>
      <c r="J145" s="1">
        <v>41150</v>
      </c>
      <c r="K145" t="s">
        <v>35</v>
      </c>
      <c r="L145" s="3">
        <v>2.81E-2</v>
      </c>
      <c r="M145" t="s">
        <v>29</v>
      </c>
      <c r="N145" t="s">
        <v>30</v>
      </c>
      <c r="O145">
        <v>0</v>
      </c>
      <c r="P145" s="1">
        <v>46022</v>
      </c>
      <c r="R145" s="7"/>
      <c r="S145" s="7"/>
    </row>
    <row r="146" spans="1:19" x14ac:dyDescent="0.3">
      <c r="A146" t="s">
        <v>194</v>
      </c>
      <c r="B146" t="s">
        <v>24</v>
      </c>
      <c r="C146" t="s">
        <v>28</v>
      </c>
      <c r="D146" s="5">
        <v>35684</v>
      </c>
      <c r="E146">
        <v>19129.59</v>
      </c>
      <c r="F146" t="s">
        <v>48</v>
      </c>
      <c r="G146">
        <v>324</v>
      </c>
      <c r="H146" s="1">
        <f t="shared" si="2"/>
        <v>50313</v>
      </c>
      <c r="I146" t="s">
        <v>15</v>
      </c>
      <c r="J146" s="1">
        <v>40428</v>
      </c>
      <c r="K146" t="s">
        <v>39</v>
      </c>
      <c r="L146" s="3">
        <v>7.7199999999999991E-2</v>
      </c>
      <c r="M146" t="s">
        <v>29</v>
      </c>
      <c r="N146" t="s">
        <v>30</v>
      </c>
      <c r="O146">
        <v>0</v>
      </c>
      <c r="P146" s="1">
        <v>46022</v>
      </c>
      <c r="R146" s="7"/>
      <c r="S146" s="7"/>
    </row>
    <row r="147" spans="1:19" x14ac:dyDescent="0.3">
      <c r="A147" t="s">
        <v>195</v>
      </c>
      <c r="B147" t="s">
        <v>20</v>
      </c>
      <c r="C147" t="s">
        <v>47</v>
      </c>
      <c r="D147" s="5">
        <v>2740514</v>
      </c>
      <c r="E147">
        <v>1019957.88</v>
      </c>
      <c r="F147" t="s">
        <v>14</v>
      </c>
      <c r="G147">
        <v>228</v>
      </c>
      <c r="H147" s="1">
        <f t="shared" si="2"/>
        <v>50344</v>
      </c>
      <c r="I147" t="s">
        <v>15</v>
      </c>
      <c r="J147" s="1">
        <v>43383</v>
      </c>
      <c r="K147" t="s">
        <v>22</v>
      </c>
      <c r="L147" s="3">
        <v>5.5099999999999996E-2</v>
      </c>
      <c r="M147" t="s">
        <v>17</v>
      </c>
      <c r="N147" t="s">
        <v>18</v>
      </c>
      <c r="O147">
        <v>3256337.24</v>
      </c>
      <c r="P147" s="1">
        <v>46022</v>
      </c>
      <c r="R147" s="7"/>
      <c r="S147" s="7"/>
    </row>
    <row r="148" spans="1:19" x14ac:dyDescent="0.3">
      <c r="A148" t="s">
        <v>196</v>
      </c>
      <c r="B148" t="s">
        <v>24</v>
      </c>
      <c r="C148" t="s">
        <v>41</v>
      </c>
      <c r="D148" s="5">
        <v>17355</v>
      </c>
      <c r="E148">
        <v>10535.83</v>
      </c>
      <c r="F148" t="s">
        <v>14</v>
      </c>
      <c r="G148">
        <v>210</v>
      </c>
      <c r="H148" s="1">
        <f t="shared" si="2"/>
        <v>48060</v>
      </c>
      <c r="I148" t="s">
        <v>15</v>
      </c>
      <c r="J148" s="1">
        <v>41642</v>
      </c>
      <c r="K148" t="s">
        <v>35</v>
      </c>
      <c r="L148" s="3">
        <v>4.4600000000000001E-2</v>
      </c>
      <c r="M148" t="s">
        <v>17</v>
      </c>
      <c r="N148" t="s">
        <v>42</v>
      </c>
      <c r="O148">
        <v>20035.12</v>
      </c>
      <c r="P148" s="1">
        <v>46022</v>
      </c>
      <c r="R148" s="7"/>
      <c r="S148" s="7"/>
    </row>
    <row r="149" spans="1:19" x14ac:dyDescent="0.3">
      <c r="A149" t="s">
        <v>197</v>
      </c>
      <c r="B149" t="s">
        <v>37</v>
      </c>
      <c r="C149" t="s">
        <v>92</v>
      </c>
      <c r="D149" s="5">
        <v>234567314</v>
      </c>
      <c r="E149">
        <v>193148450.40000001</v>
      </c>
      <c r="F149" t="s">
        <v>33</v>
      </c>
      <c r="G149">
        <v>204</v>
      </c>
      <c r="H149" s="1">
        <f t="shared" si="2"/>
        <v>48487</v>
      </c>
      <c r="I149" t="s">
        <v>15</v>
      </c>
      <c r="J149" s="1">
        <v>42257</v>
      </c>
      <c r="K149" t="s">
        <v>39</v>
      </c>
      <c r="L149" s="3">
        <v>6.6900000000000001E-2</v>
      </c>
      <c r="M149" t="s">
        <v>29</v>
      </c>
      <c r="N149" t="s">
        <v>30</v>
      </c>
      <c r="O149">
        <v>0</v>
      </c>
      <c r="P149" s="1">
        <v>46022</v>
      </c>
      <c r="R149" s="7"/>
      <c r="S149" s="7"/>
    </row>
    <row r="150" spans="1:19" x14ac:dyDescent="0.3">
      <c r="A150" t="s">
        <v>198</v>
      </c>
      <c r="B150" t="s">
        <v>24</v>
      </c>
      <c r="C150" t="s">
        <v>25</v>
      </c>
      <c r="D150" s="5">
        <v>536227</v>
      </c>
      <c r="E150">
        <v>119811.07</v>
      </c>
      <c r="F150" t="s">
        <v>14</v>
      </c>
      <c r="G150">
        <v>168</v>
      </c>
      <c r="H150" s="1">
        <f t="shared" si="2"/>
        <v>46203</v>
      </c>
      <c r="I150" t="s">
        <v>15</v>
      </c>
      <c r="J150" s="1">
        <v>41066</v>
      </c>
      <c r="K150" t="s">
        <v>16</v>
      </c>
      <c r="L150" s="3">
        <v>8.77E-2</v>
      </c>
      <c r="M150" t="s">
        <v>17</v>
      </c>
      <c r="N150" t="s">
        <v>26</v>
      </c>
      <c r="O150">
        <v>682605.99</v>
      </c>
      <c r="P150" s="1">
        <v>46022</v>
      </c>
      <c r="R150" s="7"/>
      <c r="S150" s="7"/>
    </row>
    <row r="151" spans="1:19" x14ac:dyDescent="0.3">
      <c r="A151" t="s">
        <v>199</v>
      </c>
      <c r="B151" t="s">
        <v>24</v>
      </c>
      <c r="C151" t="s">
        <v>41</v>
      </c>
      <c r="D151" s="5">
        <v>500000</v>
      </c>
      <c r="E151">
        <v>15515.74</v>
      </c>
      <c r="F151" t="s">
        <v>14</v>
      </c>
      <c r="G151">
        <v>60</v>
      </c>
      <c r="H151" s="1">
        <f t="shared" si="2"/>
        <v>46996</v>
      </c>
      <c r="I151" t="s">
        <v>15</v>
      </c>
      <c r="J151" s="1">
        <v>45157</v>
      </c>
      <c r="K151" t="s">
        <v>16</v>
      </c>
      <c r="L151" s="3">
        <v>0.1027</v>
      </c>
      <c r="M151" t="s">
        <v>17</v>
      </c>
      <c r="N151" t="s">
        <v>42</v>
      </c>
      <c r="O151">
        <v>25395.34</v>
      </c>
      <c r="P151" s="1">
        <v>46022</v>
      </c>
      <c r="R151" s="7"/>
      <c r="S151" s="7"/>
    </row>
    <row r="152" spans="1:19" x14ac:dyDescent="0.3">
      <c r="A152" t="s">
        <v>200</v>
      </c>
      <c r="B152" t="s">
        <v>20</v>
      </c>
      <c r="C152" t="s">
        <v>89</v>
      </c>
      <c r="D152" s="5">
        <v>4731206</v>
      </c>
      <c r="E152">
        <v>2625619.98</v>
      </c>
      <c r="F152" t="s">
        <v>48</v>
      </c>
      <c r="G152">
        <v>180</v>
      </c>
      <c r="H152" s="1">
        <f t="shared" si="2"/>
        <v>50801</v>
      </c>
      <c r="I152" t="s">
        <v>15</v>
      </c>
      <c r="J152" s="1">
        <v>45306</v>
      </c>
      <c r="K152" t="s">
        <v>22</v>
      </c>
      <c r="L152" s="3">
        <v>7.4299999999999991E-2</v>
      </c>
      <c r="M152" t="s">
        <v>17</v>
      </c>
      <c r="N152" t="s">
        <v>42</v>
      </c>
      <c r="O152">
        <v>7000838.4400000004</v>
      </c>
      <c r="P152" s="1">
        <v>46022</v>
      </c>
      <c r="R152" s="7"/>
      <c r="S152" s="7"/>
    </row>
    <row r="153" spans="1:19" x14ac:dyDescent="0.3">
      <c r="A153" t="s">
        <v>201</v>
      </c>
      <c r="B153" t="s">
        <v>12</v>
      </c>
      <c r="C153" t="s">
        <v>61</v>
      </c>
      <c r="D153" s="5">
        <v>42648793</v>
      </c>
      <c r="E153">
        <v>9795187.0299999993</v>
      </c>
      <c r="F153" t="s">
        <v>33</v>
      </c>
      <c r="G153">
        <v>78</v>
      </c>
      <c r="H153" s="1">
        <f t="shared" si="2"/>
        <v>45535</v>
      </c>
      <c r="I153" t="s">
        <v>15</v>
      </c>
      <c r="J153" s="1">
        <v>43152</v>
      </c>
      <c r="K153" t="s">
        <v>35</v>
      </c>
      <c r="L153" s="3">
        <v>4.7300000000000002E-2</v>
      </c>
      <c r="M153" t="s">
        <v>29</v>
      </c>
      <c r="N153" t="s">
        <v>30</v>
      </c>
      <c r="O153">
        <v>0</v>
      </c>
      <c r="P153" s="1">
        <v>46022</v>
      </c>
      <c r="R153" s="7"/>
      <c r="S153" s="7"/>
    </row>
    <row r="154" spans="1:19" x14ac:dyDescent="0.3">
      <c r="A154" t="s">
        <v>202</v>
      </c>
      <c r="B154" t="s">
        <v>37</v>
      </c>
      <c r="C154" t="s">
        <v>144</v>
      </c>
      <c r="D154" s="5">
        <v>337820945</v>
      </c>
      <c r="E154">
        <v>223501877</v>
      </c>
      <c r="F154" t="s">
        <v>33</v>
      </c>
      <c r="G154">
        <v>246</v>
      </c>
      <c r="H154" s="1">
        <f t="shared" si="2"/>
        <v>50890</v>
      </c>
      <c r="I154" t="s">
        <v>15</v>
      </c>
      <c r="J154" s="1">
        <v>43384</v>
      </c>
      <c r="K154" t="s">
        <v>22</v>
      </c>
      <c r="L154" s="3">
        <v>5.2199999999999996E-2</v>
      </c>
      <c r="M154" t="s">
        <v>17</v>
      </c>
      <c r="N154" t="s">
        <v>54</v>
      </c>
      <c r="O154">
        <v>457981011.89999998</v>
      </c>
      <c r="P154" s="1">
        <v>46022</v>
      </c>
      <c r="R154" s="7"/>
      <c r="S154" s="7"/>
    </row>
    <row r="155" spans="1:19" x14ac:dyDescent="0.3">
      <c r="A155" t="s">
        <v>203</v>
      </c>
      <c r="B155" t="s">
        <v>20</v>
      </c>
      <c r="C155" t="s">
        <v>21</v>
      </c>
      <c r="D155" s="5">
        <v>2338363</v>
      </c>
      <c r="E155">
        <v>809719.88</v>
      </c>
      <c r="F155" t="s">
        <v>33</v>
      </c>
      <c r="G155">
        <v>96</v>
      </c>
      <c r="H155" s="1">
        <f t="shared" si="2"/>
        <v>48487</v>
      </c>
      <c r="I155" t="s">
        <v>15</v>
      </c>
      <c r="J155" s="1">
        <v>45540</v>
      </c>
      <c r="K155" t="s">
        <v>35</v>
      </c>
      <c r="L155" s="3">
        <v>5.74E-2</v>
      </c>
      <c r="M155" t="s">
        <v>17</v>
      </c>
      <c r="N155" t="s">
        <v>18</v>
      </c>
      <c r="O155">
        <v>2900141.56</v>
      </c>
      <c r="P155" s="1">
        <v>46022</v>
      </c>
      <c r="R155" s="7"/>
      <c r="S155" s="7"/>
    </row>
    <row r="156" spans="1:19" x14ac:dyDescent="0.3">
      <c r="A156" t="s">
        <v>204</v>
      </c>
      <c r="B156" t="s">
        <v>24</v>
      </c>
      <c r="C156" t="s">
        <v>28</v>
      </c>
      <c r="D156" s="5">
        <v>21177</v>
      </c>
      <c r="E156">
        <v>11415.22</v>
      </c>
      <c r="F156" t="s">
        <v>48</v>
      </c>
      <c r="G156">
        <v>354</v>
      </c>
      <c r="H156" s="1">
        <f t="shared" si="2"/>
        <v>55273</v>
      </c>
      <c r="I156" t="s">
        <v>15</v>
      </c>
      <c r="J156" s="1">
        <v>44490</v>
      </c>
      <c r="K156" t="s">
        <v>16</v>
      </c>
      <c r="L156" s="3">
        <v>8.1600000000000006E-2</v>
      </c>
      <c r="M156" t="s">
        <v>29</v>
      </c>
      <c r="N156" t="s">
        <v>30</v>
      </c>
      <c r="O156">
        <v>0</v>
      </c>
      <c r="P156" s="1">
        <v>46022</v>
      </c>
      <c r="R156" s="7"/>
      <c r="S156" s="7"/>
    </row>
    <row r="157" spans="1:19" x14ac:dyDescent="0.3">
      <c r="A157" t="s">
        <v>205</v>
      </c>
      <c r="B157" t="s">
        <v>20</v>
      </c>
      <c r="C157" t="s">
        <v>47</v>
      </c>
      <c r="D157" s="5">
        <v>3272319</v>
      </c>
      <c r="E157">
        <v>569531</v>
      </c>
      <c r="F157" t="s">
        <v>14</v>
      </c>
      <c r="G157">
        <v>120</v>
      </c>
      <c r="H157" s="1">
        <f t="shared" si="2"/>
        <v>45016</v>
      </c>
      <c r="I157" t="s">
        <v>15</v>
      </c>
      <c r="J157" s="1">
        <v>41341</v>
      </c>
      <c r="K157" t="s">
        <v>35</v>
      </c>
      <c r="L157" s="3">
        <v>3.7999999999999999E-2</v>
      </c>
      <c r="M157" t="s">
        <v>17</v>
      </c>
      <c r="N157" t="s">
        <v>26</v>
      </c>
      <c r="O157">
        <v>4735881.43</v>
      </c>
      <c r="P157" s="1">
        <v>46022</v>
      </c>
      <c r="R157" s="7"/>
      <c r="S157" s="7"/>
    </row>
    <row r="158" spans="1:19" x14ac:dyDescent="0.3">
      <c r="A158" t="s">
        <v>206</v>
      </c>
      <c r="B158" t="s">
        <v>12</v>
      </c>
      <c r="C158" t="s">
        <v>61</v>
      </c>
      <c r="D158" s="5">
        <v>27726162</v>
      </c>
      <c r="E158">
        <v>14240867.82</v>
      </c>
      <c r="F158" t="s">
        <v>33</v>
      </c>
      <c r="G158">
        <v>330</v>
      </c>
      <c r="H158" s="1">
        <f t="shared" si="2"/>
        <v>55092</v>
      </c>
      <c r="I158" t="s">
        <v>15</v>
      </c>
      <c r="J158" s="1">
        <v>45034</v>
      </c>
      <c r="K158" t="s">
        <v>22</v>
      </c>
      <c r="L158" s="3">
        <v>7.7399999999999997E-2</v>
      </c>
      <c r="M158" t="s">
        <v>17</v>
      </c>
      <c r="N158" t="s">
        <v>54</v>
      </c>
      <c r="O158">
        <v>38912255.810000002</v>
      </c>
      <c r="P158" s="1">
        <v>46022</v>
      </c>
      <c r="R158" s="7"/>
      <c r="S158" s="7"/>
    </row>
    <row r="159" spans="1:19" x14ac:dyDescent="0.3">
      <c r="A159" t="s">
        <v>207</v>
      </c>
      <c r="B159" t="s">
        <v>24</v>
      </c>
      <c r="C159" t="s">
        <v>25</v>
      </c>
      <c r="D159" s="5">
        <v>156046</v>
      </c>
      <c r="E159">
        <v>58644.68</v>
      </c>
      <c r="F159" t="s">
        <v>14</v>
      </c>
      <c r="G159">
        <v>168</v>
      </c>
      <c r="H159" s="1">
        <f t="shared" si="2"/>
        <v>48760</v>
      </c>
      <c r="I159" t="s">
        <v>15</v>
      </c>
      <c r="J159" s="1">
        <v>43621</v>
      </c>
      <c r="K159" t="s">
        <v>22</v>
      </c>
      <c r="L159" s="3">
        <v>4.5999999999999999E-2</v>
      </c>
      <c r="M159" t="s">
        <v>17</v>
      </c>
      <c r="N159" t="s">
        <v>26</v>
      </c>
      <c r="O159">
        <v>204687.77</v>
      </c>
      <c r="P159" s="1">
        <v>46022</v>
      </c>
      <c r="R159" s="7"/>
      <c r="S159" s="7"/>
    </row>
    <row r="160" spans="1:19" x14ac:dyDescent="0.3">
      <c r="A160" t="s">
        <v>208</v>
      </c>
      <c r="B160" t="s">
        <v>24</v>
      </c>
      <c r="C160" t="s">
        <v>28</v>
      </c>
      <c r="D160" s="5">
        <v>26113</v>
      </c>
      <c r="E160">
        <v>21938.35</v>
      </c>
      <c r="F160" t="s">
        <v>14</v>
      </c>
      <c r="G160">
        <v>318</v>
      </c>
      <c r="H160" s="1">
        <f t="shared" si="2"/>
        <v>49948</v>
      </c>
      <c r="I160" t="s">
        <v>15</v>
      </c>
      <c r="J160" s="1">
        <v>40259</v>
      </c>
      <c r="K160" t="s">
        <v>22</v>
      </c>
      <c r="L160" s="3">
        <v>5.2699999999999997E-2</v>
      </c>
      <c r="M160" t="s">
        <v>29</v>
      </c>
      <c r="N160" t="s">
        <v>30</v>
      </c>
      <c r="O160">
        <v>0</v>
      </c>
      <c r="P160" s="1">
        <v>46022</v>
      </c>
      <c r="R160" s="7"/>
      <c r="S160" s="7"/>
    </row>
    <row r="161" spans="1:19" x14ac:dyDescent="0.3">
      <c r="A161" t="s">
        <v>209</v>
      </c>
      <c r="B161" t="s">
        <v>24</v>
      </c>
      <c r="C161" t="s">
        <v>41</v>
      </c>
      <c r="D161" s="5">
        <v>82576</v>
      </c>
      <c r="E161">
        <v>12492.22</v>
      </c>
      <c r="F161" t="s">
        <v>14</v>
      </c>
      <c r="G161">
        <v>234</v>
      </c>
      <c r="H161" s="1">
        <f t="shared" si="2"/>
        <v>47483</v>
      </c>
      <c r="I161" t="s">
        <v>15</v>
      </c>
      <c r="J161" s="1">
        <v>40345</v>
      </c>
      <c r="K161" t="s">
        <v>39</v>
      </c>
      <c r="L161" s="3">
        <v>7.9199999999999993E-2</v>
      </c>
      <c r="M161" t="s">
        <v>17</v>
      </c>
      <c r="N161" t="s">
        <v>42</v>
      </c>
      <c r="O161">
        <v>94273.16</v>
      </c>
      <c r="P161" s="1">
        <v>46022</v>
      </c>
      <c r="R161" s="7"/>
      <c r="S161" s="7"/>
    </row>
    <row r="162" spans="1:19" x14ac:dyDescent="0.3">
      <c r="A162" t="s">
        <v>210</v>
      </c>
      <c r="B162" t="s">
        <v>24</v>
      </c>
      <c r="C162" t="s">
        <v>25</v>
      </c>
      <c r="D162" s="5">
        <v>513316</v>
      </c>
      <c r="E162">
        <v>244721.58</v>
      </c>
      <c r="F162" t="s">
        <v>14</v>
      </c>
      <c r="G162">
        <v>270</v>
      </c>
      <c r="H162" s="1">
        <f t="shared" si="2"/>
        <v>52596</v>
      </c>
      <c r="I162" t="s">
        <v>15</v>
      </c>
      <c r="J162" s="1">
        <v>44351</v>
      </c>
      <c r="K162" t="s">
        <v>22</v>
      </c>
      <c r="L162" s="3">
        <v>4.2099999999999999E-2</v>
      </c>
      <c r="M162" t="s">
        <v>17</v>
      </c>
      <c r="N162" t="s">
        <v>26</v>
      </c>
      <c r="O162">
        <v>677717.08</v>
      </c>
      <c r="P162" s="1">
        <v>46022</v>
      </c>
      <c r="R162" s="7"/>
      <c r="S162" s="7"/>
    </row>
    <row r="163" spans="1:19" x14ac:dyDescent="0.3">
      <c r="A163" t="s">
        <v>211</v>
      </c>
      <c r="B163" t="s">
        <v>24</v>
      </c>
      <c r="C163" t="s">
        <v>41</v>
      </c>
      <c r="D163" s="5">
        <v>14676</v>
      </c>
      <c r="E163">
        <v>7522.79</v>
      </c>
      <c r="F163" t="s">
        <v>14</v>
      </c>
      <c r="G163">
        <v>120</v>
      </c>
      <c r="H163" s="1">
        <f t="shared" si="2"/>
        <v>48548</v>
      </c>
      <c r="I163" t="s">
        <v>15</v>
      </c>
      <c r="J163" s="1">
        <v>44883</v>
      </c>
      <c r="K163" t="s">
        <v>35</v>
      </c>
      <c r="L163" s="3">
        <v>4.1900000000000007E-2</v>
      </c>
      <c r="M163" t="s">
        <v>17</v>
      </c>
      <c r="N163" t="s">
        <v>42</v>
      </c>
      <c r="O163">
        <v>15990.05</v>
      </c>
      <c r="P163" s="1">
        <v>46022</v>
      </c>
      <c r="R163" s="7"/>
      <c r="S163" s="7"/>
    </row>
    <row r="164" spans="1:19" x14ac:dyDescent="0.3">
      <c r="A164" t="s">
        <v>212</v>
      </c>
      <c r="B164" t="s">
        <v>37</v>
      </c>
      <c r="C164" t="s">
        <v>78</v>
      </c>
      <c r="D164" s="5">
        <v>395276318</v>
      </c>
      <c r="E164">
        <v>297447590.69999999</v>
      </c>
      <c r="F164" t="s">
        <v>14</v>
      </c>
      <c r="G164">
        <v>144</v>
      </c>
      <c r="H164" s="1">
        <f t="shared" si="2"/>
        <v>45688</v>
      </c>
      <c r="I164" t="s">
        <v>15</v>
      </c>
      <c r="J164" s="1">
        <v>41305</v>
      </c>
      <c r="K164" t="s">
        <v>22</v>
      </c>
      <c r="L164" s="3">
        <v>4.9599999999999998E-2</v>
      </c>
      <c r="M164" t="s">
        <v>17</v>
      </c>
      <c r="N164" t="s">
        <v>54</v>
      </c>
      <c r="O164">
        <v>506860341.89999998</v>
      </c>
      <c r="P164" s="1">
        <v>46022</v>
      </c>
      <c r="R164" s="7"/>
      <c r="S164" s="7"/>
    </row>
    <row r="165" spans="1:19" x14ac:dyDescent="0.3">
      <c r="A165" t="s">
        <v>213</v>
      </c>
      <c r="B165" t="s">
        <v>20</v>
      </c>
      <c r="C165" t="s">
        <v>21</v>
      </c>
      <c r="D165" s="5">
        <v>1046751</v>
      </c>
      <c r="E165">
        <v>645697.41</v>
      </c>
      <c r="F165" t="s">
        <v>48</v>
      </c>
      <c r="G165">
        <v>162</v>
      </c>
      <c r="H165" s="1">
        <f t="shared" si="2"/>
        <v>46234</v>
      </c>
      <c r="I165" t="s">
        <v>15</v>
      </c>
      <c r="J165" s="1">
        <v>41281</v>
      </c>
      <c r="K165" t="s">
        <v>22</v>
      </c>
      <c r="L165" s="3">
        <v>4.7300000000000002E-2</v>
      </c>
      <c r="M165" t="s">
        <v>17</v>
      </c>
      <c r="N165" t="s">
        <v>54</v>
      </c>
      <c r="O165">
        <v>1684323.76</v>
      </c>
      <c r="P165" s="1">
        <v>46022</v>
      </c>
      <c r="R165" s="7"/>
      <c r="S165" s="7"/>
    </row>
    <row r="166" spans="1:19" x14ac:dyDescent="0.3">
      <c r="A166" t="s">
        <v>214</v>
      </c>
      <c r="B166" t="s">
        <v>24</v>
      </c>
      <c r="C166" t="s">
        <v>41</v>
      </c>
      <c r="D166" s="5">
        <v>33276</v>
      </c>
      <c r="E166">
        <v>23309.46</v>
      </c>
      <c r="F166" t="s">
        <v>14</v>
      </c>
      <c r="G166">
        <v>180</v>
      </c>
      <c r="H166" s="1">
        <f t="shared" si="2"/>
        <v>50009</v>
      </c>
      <c r="I166" t="s">
        <v>15</v>
      </c>
      <c r="J166" s="1">
        <v>44516</v>
      </c>
      <c r="K166" t="s">
        <v>35</v>
      </c>
      <c r="L166" s="3">
        <v>3.2899999999999999E-2</v>
      </c>
      <c r="M166" t="s">
        <v>17</v>
      </c>
      <c r="N166" t="s">
        <v>42</v>
      </c>
      <c r="O166">
        <v>37650.28</v>
      </c>
      <c r="P166" s="1">
        <v>46022</v>
      </c>
      <c r="R166" s="7"/>
      <c r="S166" s="7"/>
    </row>
    <row r="167" spans="1:19" x14ac:dyDescent="0.3">
      <c r="A167" t="s">
        <v>215</v>
      </c>
      <c r="B167" t="s">
        <v>24</v>
      </c>
      <c r="C167" t="s">
        <v>28</v>
      </c>
      <c r="D167" s="5">
        <v>9071</v>
      </c>
      <c r="E167">
        <v>7250.54</v>
      </c>
      <c r="F167" t="s">
        <v>48</v>
      </c>
      <c r="G167">
        <v>348</v>
      </c>
      <c r="H167" s="1">
        <f t="shared" si="2"/>
        <v>54819</v>
      </c>
      <c r="I167" t="s">
        <v>15</v>
      </c>
      <c r="J167" s="1">
        <v>44216</v>
      </c>
      <c r="K167" t="s">
        <v>39</v>
      </c>
      <c r="L167" s="3">
        <v>6.25E-2</v>
      </c>
      <c r="M167" t="s">
        <v>29</v>
      </c>
      <c r="N167" t="s">
        <v>30</v>
      </c>
      <c r="O167">
        <v>0</v>
      </c>
      <c r="P167" s="1">
        <v>46022</v>
      </c>
      <c r="R167" s="7"/>
      <c r="S167" s="7"/>
    </row>
    <row r="168" spans="1:19" x14ac:dyDescent="0.3">
      <c r="A168" t="s">
        <v>216</v>
      </c>
      <c r="B168" t="s">
        <v>20</v>
      </c>
      <c r="C168" t="s">
        <v>47</v>
      </c>
      <c r="D168" s="5">
        <v>1684565</v>
      </c>
      <c r="E168">
        <v>1475649.38</v>
      </c>
      <c r="F168" t="s">
        <v>14</v>
      </c>
      <c r="G168">
        <v>270</v>
      </c>
      <c r="H168" s="1">
        <f t="shared" si="2"/>
        <v>52504</v>
      </c>
      <c r="I168" t="s">
        <v>15</v>
      </c>
      <c r="J168" s="1">
        <v>44274</v>
      </c>
      <c r="K168" t="s">
        <v>22</v>
      </c>
      <c r="L168" s="3">
        <v>3.9300000000000002E-2</v>
      </c>
      <c r="M168" t="s">
        <v>29</v>
      </c>
      <c r="N168" t="s">
        <v>30</v>
      </c>
      <c r="O168">
        <v>0</v>
      </c>
      <c r="P168" s="1">
        <v>46022</v>
      </c>
      <c r="R168" s="7"/>
      <c r="S168" s="7"/>
    </row>
    <row r="169" spans="1:19" x14ac:dyDescent="0.3">
      <c r="A169" t="s">
        <v>217</v>
      </c>
      <c r="B169" t="s">
        <v>37</v>
      </c>
      <c r="C169" t="s">
        <v>74</v>
      </c>
      <c r="D169" s="5">
        <v>380808238</v>
      </c>
      <c r="E169">
        <v>145654561.09999999</v>
      </c>
      <c r="F169" t="s">
        <v>33</v>
      </c>
      <c r="G169">
        <v>162</v>
      </c>
      <c r="H169" s="1">
        <f t="shared" si="2"/>
        <v>49734</v>
      </c>
      <c r="I169" t="s">
        <v>15</v>
      </c>
      <c r="J169" s="1">
        <v>44781</v>
      </c>
      <c r="K169" t="s">
        <v>39</v>
      </c>
      <c r="L169" s="3">
        <v>7.5899999999999995E-2</v>
      </c>
      <c r="M169" t="s">
        <v>17</v>
      </c>
      <c r="N169" t="s">
        <v>42</v>
      </c>
      <c r="O169">
        <v>662387526</v>
      </c>
      <c r="P169" s="1">
        <v>46022</v>
      </c>
      <c r="R169" s="7"/>
      <c r="S169" s="7"/>
    </row>
    <row r="170" spans="1:19" x14ac:dyDescent="0.3">
      <c r="A170" t="s">
        <v>218</v>
      </c>
      <c r="B170" t="s">
        <v>37</v>
      </c>
      <c r="C170" t="s">
        <v>74</v>
      </c>
      <c r="D170" s="5">
        <v>264499071</v>
      </c>
      <c r="E170">
        <v>154525762.40000001</v>
      </c>
      <c r="F170" t="s">
        <v>48</v>
      </c>
      <c r="G170">
        <v>156</v>
      </c>
      <c r="H170" s="1">
        <f t="shared" si="2"/>
        <v>46965</v>
      </c>
      <c r="I170" t="s">
        <v>15</v>
      </c>
      <c r="J170" s="1">
        <v>42214</v>
      </c>
      <c r="K170" t="s">
        <v>16</v>
      </c>
      <c r="L170" s="3">
        <v>9.4800000000000009E-2</v>
      </c>
      <c r="M170" t="s">
        <v>17</v>
      </c>
      <c r="N170" t="s">
        <v>18</v>
      </c>
      <c r="O170">
        <v>350718358.10000002</v>
      </c>
      <c r="P170" s="1">
        <v>46022</v>
      </c>
      <c r="R170" s="7"/>
      <c r="S170" s="7"/>
    </row>
    <row r="171" spans="1:19" x14ac:dyDescent="0.3">
      <c r="A171" t="s">
        <v>219</v>
      </c>
      <c r="B171" t="s">
        <v>24</v>
      </c>
      <c r="C171" t="s">
        <v>41</v>
      </c>
      <c r="D171" s="5">
        <v>28439</v>
      </c>
      <c r="E171">
        <v>24346.82</v>
      </c>
      <c r="F171" t="s">
        <v>14</v>
      </c>
      <c r="G171">
        <v>60</v>
      </c>
      <c r="H171" s="1">
        <f t="shared" si="2"/>
        <v>45808</v>
      </c>
      <c r="I171" t="s">
        <v>15</v>
      </c>
      <c r="J171" s="1">
        <v>43954</v>
      </c>
      <c r="K171" t="s">
        <v>16</v>
      </c>
      <c r="L171" s="3">
        <v>9.3000000000000013E-2</v>
      </c>
      <c r="M171" t="s">
        <v>17</v>
      </c>
      <c r="N171" t="s">
        <v>42</v>
      </c>
      <c r="O171">
        <v>31529.64</v>
      </c>
      <c r="P171" s="1">
        <v>46022</v>
      </c>
      <c r="R171" s="7"/>
      <c r="S171" s="7"/>
    </row>
    <row r="172" spans="1:19" x14ac:dyDescent="0.3">
      <c r="A172" t="s">
        <v>220</v>
      </c>
      <c r="B172" t="s">
        <v>24</v>
      </c>
      <c r="C172" t="s">
        <v>28</v>
      </c>
      <c r="D172" s="5">
        <v>44014</v>
      </c>
      <c r="E172">
        <v>43595.81</v>
      </c>
      <c r="F172" t="s">
        <v>33</v>
      </c>
      <c r="G172">
        <v>252</v>
      </c>
      <c r="H172" s="1">
        <f t="shared" si="2"/>
        <v>52535</v>
      </c>
      <c r="I172" t="s">
        <v>15</v>
      </c>
      <c r="J172" s="1">
        <v>44858</v>
      </c>
      <c r="K172" t="s">
        <v>16</v>
      </c>
      <c r="L172" s="3">
        <v>9.7100000000000006E-2</v>
      </c>
      <c r="M172" t="s">
        <v>29</v>
      </c>
      <c r="N172" t="s">
        <v>30</v>
      </c>
      <c r="O172">
        <v>0</v>
      </c>
      <c r="P172" s="1">
        <v>46022</v>
      </c>
      <c r="R172" s="7"/>
      <c r="S172" s="7"/>
    </row>
    <row r="173" spans="1:19" x14ac:dyDescent="0.3">
      <c r="A173" t="s">
        <v>221</v>
      </c>
      <c r="B173" t="s">
        <v>37</v>
      </c>
      <c r="C173" t="s">
        <v>92</v>
      </c>
      <c r="D173" s="5">
        <v>440995109</v>
      </c>
      <c r="E173">
        <v>397145809.80000001</v>
      </c>
      <c r="F173" t="s">
        <v>33</v>
      </c>
      <c r="G173">
        <v>282</v>
      </c>
      <c r="H173" s="1">
        <f t="shared" si="2"/>
        <v>52901</v>
      </c>
      <c r="I173" t="s">
        <v>15</v>
      </c>
      <c r="J173" s="1">
        <v>44288</v>
      </c>
      <c r="K173" t="s">
        <v>35</v>
      </c>
      <c r="L173" s="3">
        <v>3.15E-2</v>
      </c>
      <c r="M173" t="s">
        <v>29</v>
      </c>
      <c r="N173" t="s">
        <v>30</v>
      </c>
      <c r="O173">
        <v>0</v>
      </c>
      <c r="P173" s="1">
        <v>46022</v>
      </c>
      <c r="R173" s="7"/>
      <c r="S173" s="7"/>
    </row>
    <row r="174" spans="1:19" x14ac:dyDescent="0.3">
      <c r="A174" t="s">
        <v>222</v>
      </c>
      <c r="B174" t="s">
        <v>24</v>
      </c>
      <c r="C174" t="s">
        <v>28</v>
      </c>
      <c r="D174" s="5">
        <v>43658</v>
      </c>
      <c r="E174">
        <v>18961.71</v>
      </c>
      <c r="F174" t="s">
        <v>33</v>
      </c>
      <c r="G174">
        <v>318</v>
      </c>
      <c r="H174" s="1">
        <f t="shared" si="2"/>
        <v>50860</v>
      </c>
      <c r="I174" t="s">
        <v>15</v>
      </c>
      <c r="J174" s="1">
        <v>41177</v>
      </c>
      <c r="K174" t="s">
        <v>35</v>
      </c>
      <c r="L174" s="3">
        <v>3.0200000000000001E-2</v>
      </c>
      <c r="M174" t="s">
        <v>29</v>
      </c>
      <c r="N174" t="s">
        <v>30</v>
      </c>
      <c r="O174">
        <v>0</v>
      </c>
      <c r="P174" s="1">
        <v>46022</v>
      </c>
      <c r="R174" s="7"/>
      <c r="S174" s="7"/>
    </row>
    <row r="175" spans="1:19" x14ac:dyDescent="0.3">
      <c r="A175" t="s">
        <v>223</v>
      </c>
      <c r="B175" t="s">
        <v>24</v>
      </c>
      <c r="C175" t="s">
        <v>28</v>
      </c>
      <c r="D175" s="5">
        <v>12701</v>
      </c>
      <c r="E175">
        <v>3501.03</v>
      </c>
      <c r="F175" t="s">
        <v>14</v>
      </c>
      <c r="G175">
        <v>354</v>
      </c>
      <c r="H175" s="1">
        <f t="shared" si="2"/>
        <v>52535</v>
      </c>
      <c r="I175" t="s">
        <v>15</v>
      </c>
      <c r="J175" s="1">
        <v>41739</v>
      </c>
      <c r="K175" t="s">
        <v>22</v>
      </c>
      <c r="L175" s="3">
        <v>4.8899999999999999E-2</v>
      </c>
      <c r="M175" t="s">
        <v>29</v>
      </c>
      <c r="N175" t="s">
        <v>30</v>
      </c>
      <c r="O175">
        <v>0</v>
      </c>
      <c r="P175" s="1">
        <v>46022</v>
      </c>
      <c r="R175" s="7"/>
      <c r="S175" s="7"/>
    </row>
    <row r="176" spans="1:19" x14ac:dyDescent="0.3">
      <c r="A176" t="s">
        <v>224</v>
      </c>
      <c r="B176" t="s">
        <v>24</v>
      </c>
      <c r="C176" t="s">
        <v>32</v>
      </c>
      <c r="D176" s="5">
        <v>23111</v>
      </c>
      <c r="E176">
        <v>12490.27</v>
      </c>
      <c r="F176" t="s">
        <v>33</v>
      </c>
      <c r="G176">
        <v>228</v>
      </c>
      <c r="H176" s="1">
        <f t="shared" si="2"/>
        <v>52382</v>
      </c>
      <c r="I176" t="s">
        <v>15</v>
      </c>
      <c r="J176" s="1">
        <v>45440</v>
      </c>
      <c r="K176" t="s">
        <v>16</v>
      </c>
      <c r="L176" s="3">
        <v>0.11869999999999999</v>
      </c>
      <c r="M176" t="s">
        <v>29</v>
      </c>
      <c r="N176" t="s">
        <v>30</v>
      </c>
      <c r="O176">
        <v>0</v>
      </c>
      <c r="P176" s="1">
        <v>46022</v>
      </c>
      <c r="R176" s="7"/>
      <c r="S176" s="7"/>
    </row>
    <row r="177" spans="1:19" x14ac:dyDescent="0.3">
      <c r="A177" t="s">
        <v>225</v>
      </c>
      <c r="B177" t="s">
        <v>24</v>
      </c>
      <c r="C177" t="s">
        <v>32</v>
      </c>
      <c r="D177" s="5">
        <v>49264</v>
      </c>
      <c r="E177" s="4">
        <v>37809.379999999997</v>
      </c>
      <c r="F177" t="s">
        <v>33</v>
      </c>
      <c r="G177">
        <v>30</v>
      </c>
      <c r="H177" s="1">
        <f t="shared" si="2"/>
        <v>45900</v>
      </c>
      <c r="I177" t="s">
        <v>15</v>
      </c>
      <c r="J177" s="1">
        <v>44959</v>
      </c>
      <c r="K177" t="s">
        <v>101</v>
      </c>
      <c r="L177" s="3">
        <v>0.1542</v>
      </c>
      <c r="M177" t="s">
        <v>29</v>
      </c>
      <c r="N177" t="s">
        <v>30</v>
      </c>
      <c r="O177">
        <v>0</v>
      </c>
      <c r="P177" s="1">
        <v>46022</v>
      </c>
      <c r="R177" s="7"/>
      <c r="S177" s="7"/>
    </row>
    <row r="178" spans="1:19" x14ac:dyDescent="0.3">
      <c r="A178" t="s">
        <v>226</v>
      </c>
      <c r="B178" t="s">
        <v>12</v>
      </c>
      <c r="C178" t="s">
        <v>61</v>
      </c>
      <c r="D178" s="5">
        <v>38828611</v>
      </c>
      <c r="E178">
        <v>21096056.84</v>
      </c>
      <c r="F178" t="s">
        <v>33</v>
      </c>
      <c r="G178">
        <v>138</v>
      </c>
      <c r="H178" s="1">
        <f t="shared" si="2"/>
        <v>46507</v>
      </c>
      <c r="I178" t="s">
        <v>15</v>
      </c>
      <c r="J178" s="1">
        <v>42300</v>
      </c>
      <c r="K178" t="s">
        <v>16</v>
      </c>
      <c r="L178" s="3">
        <v>0.09</v>
      </c>
      <c r="M178" t="s">
        <v>17</v>
      </c>
      <c r="N178" t="s">
        <v>54</v>
      </c>
      <c r="O178">
        <v>45980526.549999997</v>
      </c>
      <c r="P178" s="1">
        <v>46022</v>
      </c>
      <c r="R178" s="7"/>
      <c r="S178" s="7"/>
    </row>
    <row r="179" spans="1:19" x14ac:dyDescent="0.3">
      <c r="A179" t="s">
        <v>227</v>
      </c>
      <c r="B179" t="s">
        <v>24</v>
      </c>
      <c r="C179" t="s">
        <v>25</v>
      </c>
      <c r="D179" s="5">
        <v>124451</v>
      </c>
      <c r="E179">
        <v>66564.039999999994</v>
      </c>
      <c r="F179" t="s">
        <v>14</v>
      </c>
      <c r="G179">
        <v>168</v>
      </c>
      <c r="H179" s="1">
        <f t="shared" si="2"/>
        <v>46507</v>
      </c>
      <c r="I179" t="s">
        <v>15</v>
      </c>
      <c r="J179" s="1">
        <v>41368</v>
      </c>
      <c r="K179" t="s">
        <v>35</v>
      </c>
      <c r="L179" s="3">
        <v>3.5099999999999999E-2</v>
      </c>
      <c r="M179" t="s">
        <v>17</v>
      </c>
      <c r="N179" t="s">
        <v>26</v>
      </c>
      <c r="O179">
        <v>177031.72</v>
      </c>
      <c r="P179" s="1">
        <v>46022</v>
      </c>
      <c r="R179" s="7"/>
      <c r="S179" s="7"/>
    </row>
    <row r="180" spans="1:19" x14ac:dyDescent="0.3">
      <c r="A180" t="s">
        <v>228</v>
      </c>
      <c r="B180" t="s">
        <v>24</v>
      </c>
      <c r="C180" t="s">
        <v>28</v>
      </c>
      <c r="D180" s="5">
        <v>4195</v>
      </c>
      <c r="E180">
        <v>3584.26</v>
      </c>
      <c r="F180" t="s">
        <v>14</v>
      </c>
      <c r="G180">
        <v>204</v>
      </c>
      <c r="H180" s="1">
        <f t="shared" si="2"/>
        <v>51379</v>
      </c>
      <c r="I180" t="s">
        <v>15</v>
      </c>
      <c r="J180" s="1">
        <v>45147</v>
      </c>
      <c r="K180" t="s">
        <v>16</v>
      </c>
      <c r="L180" s="3">
        <v>0.1186</v>
      </c>
      <c r="M180" t="s">
        <v>29</v>
      </c>
      <c r="N180" t="s">
        <v>30</v>
      </c>
      <c r="O180">
        <v>0</v>
      </c>
      <c r="P180" s="1">
        <v>46022</v>
      </c>
      <c r="R180" s="7"/>
      <c r="S180" s="7"/>
    </row>
    <row r="181" spans="1:19" x14ac:dyDescent="0.3">
      <c r="A181" t="s">
        <v>229</v>
      </c>
      <c r="B181" t="s">
        <v>20</v>
      </c>
      <c r="C181" t="s">
        <v>47</v>
      </c>
      <c r="D181" s="5">
        <v>2346460</v>
      </c>
      <c r="E181">
        <v>997863.7</v>
      </c>
      <c r="F181" t="s">
        <v>14</v>
      </c>
      <c r="G181">
        <v>318</v>
      </c>
      <c r="H181" s="1">
        <f t="shared" si="2"/>
        <v>52351</v>
      </c>
      <c r="I181" t="s">
        <v>15</v>
      </c>
      <c r="J181" s="1">
        <v>42670</v>
      </c>
      <c r="K181" t="s">
        <v>22</v>
      </c>
      <c r="L181" s="3">
        <v>4.0800000000000003E-2</v>
      </c>
      <c r="M181" t="s">
        <v>17</v>
      </c>
      <c r="N181" t="s">
        <v>26</v>
      </c>
      <c r="O181">
        <v>2847128</v>
      </c>
      <c r="P181" s="1">
        <v>46022</v>
      </c>
      <c r="R181" s="7"/>
      <c r="S181" s="7"/>
    </row>
    <row r="182" spans="1:19" x14ac:dyDescent="0.3">
      <c r="A182" t="s">
        <v>230</v>
      </c>
      <c r="B182" t="s">
        <v>24</v>
      </c>
      <c r="C182" t="s">
        <v>25</v>
      </c>
      <c r="D182" s="5">
        <v>918298</v>
      </c>
      <c r="E182">
        <v>802422.92</v>
      </c>
      <c r="F182" t="s">
        <v>14</v>
      </c>
      <c r="G182">
        <v>90</v>
      </c>
      <c r="H182" s="1">
        <f t="shared" si="2"/>
        <v>48091</v>
      </c>
      <c r="I182" t="s">
        <v>15</v>
      </c>
      <c r="J182" s="1">
        <v>45331</v>
      </c>
      <c r="K182" t="s">
        <v>81</v>
      </c>
      <c r="L182" s="3">
        <v>4.6799999999999994E-2</v>
      </c>
      <c r="M182" t="s">
        <v>17</v>
      </c>
      <c r="N182" t="s">
        <v>26</v>
      </c>
      <c r="O182">
        <v>1121309.99</v>
      </c>
      <c r="P182" s="1">
        <v>46022</v>
      </c>
      <c r="R182" s="7"/>
      <c r="S182" s="7"/>
    </row>
    <row r="183" spans="1:19" x14ac:dyDescent="0.3">
      <c r="A183" t="s">
        <v>231</v>
      </c>
      <c r="B183" t="s">
        <v>24</v>
      </c>
      <c r="C183" t="s">
        <v>32</v>
      </c>
      <c r="D183" s="5">
        <v>27396</v>
      </c>
      <c r="E183">
        <v>12770.12</v>
      </c>
      <c r="F183" t="s">
        <v>33</v>
      </c>
      <c r="G183">
        <v>192</v>
      </c>
      <c r="H183" s="1">
        <f t="shared" si="2"/>
        <v>47603</v>
      </c>
      <c r="I183" t="s">
        <v>15</v>
      </c>
      <c r="J183" s="1">
        <v>41758</v>
      </c>
      <c r="K183" t="s">
        <v>22</v>
      </c>
      <c r="L183" s="3">
        <v>5.2400000000000002E-2</v>
      </c>
      <c r="M183" t="s">
        <v>29</v>
      </c>
      <c r="N183" t="s">
        <v>30</v>
      </c>
      <c r="O183">
        <v>0</v>
      </c>
      <c r="P183" s="1">
        <v>46022</v>
      </c>
      <c r="R183" s="7"/>
      <c r="S183" s="7"/>
    </row>
    <row r="184" spans="1:19" x14ac:dyDescent="0.3">
      <c r="A184" t="s">
        <v>232</v>
      </c>
      <c r="B184" t="s">
        <v>24</v>
      </c>
      <c r="C184" t="s">
        <v>25</v>
      </c>
      <c r="D184" s="5">
        <v>548031</v>
      </c>
      <c r="E184">
        <v>216696.93</v>
      </c>
      <c r="F184" t="s">
        <v>14</v>
      </c>
      <c r="G184">
        <v>156</v>
      </c>
      <c r="H184" s="1">
        <f t="shared" si="2"/>
        <v>45199</v>
      </c>
      <c r="I184" t="s">
        <v>15</v>
      </c>
      <c r="J184" s="1">
        <v>40449</v>
      </c>
      <c r="K184" t="s">
        <v>56</v>
      </c>
      <c r="L184" s="3">
        <v>3.95E-2</v>
      </c>
      <c r="M184" t="s">
        <v>17</v>
      </c>
      <c r="N184" t="s">
        <v>26</v>
      </c>
      <c r="O184">
        <v>653690.26</v>
      </c>
      <c r="P184" s="1">
        <v>46022</v>
      </c>
      <c r="R184" s="7"/>
      <c r="S184" s="7"/>
    </row>
    <row r="185" spans="1:19" x14ac:dyDescent="0.3">
      <c r="A185" t="s">
        <v>233</v>
      </c>
      <c r="B185" t="s">
        <v>24</v>
      </c>
      <c r="C185" t="s">
        <v>41</v>
      </c>
      <c r="D185" s="5">
        <v>19493</v>
      </c>
      <c r="E185">
        <v>9913.77</v>
      </c>
      <c r="F185" t="s">
        <v>14</v>
      </c>
      <c r="G185">
        <v>288</v>
      </c>
      <c r="H185" s="1">
        <f t="shared" si="2"/>
        <v>50405</v>
      </c>
      <c r="I185" t="s">
        <v>15</v>
      </c>
      <c r="J185" s="1">
        <v>41618</v>
      </c>
      <c r="K185" t="s">
        <v>22</v>
      </c>
      <c r="L185" s="3">
        <v>4.7500000000000001E-2</v>
      </c>
      <c r="M185" t="s">
        <v>17</v>
      </c>
      <c r="N185" t="s">
        <v>42</v>
      </c>
      <c r="O185">
        <v>20886.740000000002</v>
      </c>
      <c r="P185" s="1">
        <v>46022</v>
      </c>
      <c r="R185" s="7"/>
      <c r="S185" s="7"/>
    </row>
    <row r="186" spans="1:19" x14ac:dyDescent="0.3">
      <c r="A186" t="s">
        <v>234</v>
      </c>
      <c r="B186" t="s">
        <v>20</v>
      </c>
      <c r="C186" t="s">
        <v>47</v>
      </c>
      <c r="D186" s="5">
        <v>3301062</v>
      </c>
      <c r="E186">
        <v>2595302.04</v>
      </c>
      <c r="F186" t="s">
        <v>33</v>
      </c>
      <c r="G186">
        <v>186</v>
      </c>
      <c r="H186" s="1">
        <f t="shared" si="2"/>
        <v>47452</v>
      </c>
      <c r="I186" t="s">
        <v>15</v>
      </c>
      <c r="J186" s="1">
        <v>41772</v>
      </c>
      <c r="K186" t="s">
        <v>22</v>
      </c>
      <c r="L186" s="3">
        <v>4.8899999999999999E-2</v>
      </c>
      <c r="M186" t="s">
        <v>29</v>
      </c>
      <c r="N186" t="s">
        <v>30</v>
      </c>
      <c r="O186">
        <v>0</v>
      </c>
      <c r="P186" s="1">
        <v>46022</v>
      </c>
      <c r="R186" s="7"/>
      <c r="S186" s="7"/>
    </row>
    <row r="187" spans="1:19" x14ac:dyDescent="0.3">
      <c r="A187" t="s">
        <v>235</v>
      </c>
      <c r="B187" t="s">
        <v>24</v>
      </c>
      <c r="C187" t="s">
        <v>32</v>
      </c>
      <c r="D187" s="5">
        <v>41283</v>
      </c>
      <c r="E187">
        <v>8809.8799999999992</v>
      </c>
      <c r="F187" t="s">
        <v>33</v>
      </c>
      <c r="G187">
        <v>120</v>
      </c>
      <c r="H187" s="1">
        <f t="shared" si="2"/>
        <v>48060</v>
      </c>
      <c r="I187" t="s">
        <v>15</v>
      </c>
      <c r="J187" s="1">
        <v>44390</v>
      </c>
      <c r="K187" t="s">
        <v>22</v>
      </c>
      <c r="L187" s="3">
        <v>6.08E-2</v>
      </c>
      <c r="M187" t="s">
        <v>29</v>
      </c>
      <c r="N187" t="s">
        <v>30</v>
      </c>
      <c r="O187">
        <v>0</v>
      </c>
      <c r="P187" s="1">
        <v>46022</v>
      </c>
      <c r="R187" s="7"/>
      <c r="S187" s="7"/>
    </row>
    <row r="188" spans="1:19" x14ac:dyDescent="0.3">
      <c r="A188" t="s">
        <v>236</v>
      </c>
      <c r="B188" t="s">
        <v>37</v>
      </c>
      <c r="C188" t="s">
        <v>38</v>
      </c>
      <c r="D188" s="5">
        <v>196405804</v>
      </c>
      <c r="E188">
        <v>54360666.920000002</v>
      </c>
      <c r="F188" t="s">
        <v>33</v>
      </c>
      <c r="G188">
        <v>54</v>
      </c>
      <c r="H188" s="1">
        <f t="shared" si="2"/>
        <v>46203</v>
      </c>
      <c r="I188" t="s">
        <v>15</v>
      </c>
      <c r="J188" s="1">
        <v>44537</v>
      </c>
      <c r="K188" t="s">
        <v>39</v>
      </c>
      <c r="L188" s="3">
        <v>5.79E-2</v>
      </c>
      <c r="M188" t="s">
        <v>17</v>
      </c>
      <c r="N188" t="s">
        <v>42</v>
      </c>
      <c r="O188">
        <v>243775093.19999999</v>
      </c>
      <c r="P188" s="1">
        <v>46022</v>
      </c>
      <c r="R188" s="7"/>
      <c r="S188" s="7"/>
    </row>
    <row r="189" spans="1:19" x14ac:dyDescent="0.3">
      <c r="A189" t="s">
        <v>237</v>
      </c>
      <c r="B189" t="s">
        <v>24</v>
      </c>
      <c r="C189" t="s">
        <v>32</v>
      </c>
      <c r="D189" s="5">
        <v>39005</v>
      </c>
      <c r="E189">
        <v>37300.480000000003</v>
      </c>
      <c r="F189" t="s">
        <v>33</v>
      </c>
      <c r="G189">
        <v>174</v>
      </c>
      <c r="H189" s="1">
        <f t="shared" si="2"/>
        <v>49309</v>
      </c>
      <c r="I189" t="s">
        <v>15</v>
      </c>
      <c r="J189" s="1">
        <v>43984</v>
      </c>
      <c r="K189" t="s">
        <v>16</v>
      </c>
      <c r="L189" s="3">
        <v>7.3800000000000004E-2</v>
      </c>
      <c r="M189" t="s">
        <v>29</v>
      </c>
      <c r="N189" t="s">
        <v>30</v>
      </c>
      <c r="O189">
        <v>0</v>
      </c>
      <c r="P189" s="1">
        <v>46022</v>
      </c>
      <c r="R189" s="7"/>
      <c r="S189" s="7"/>
    </row>
    <row r="190" spans="1:19" x14ac:dyDescent="0.3">
      <c r="A190" t="s">
        <v>238</v>
      </c>
      <c r="B190" t="s">
        <v>37</v>
      </c>
      <c r="C190" t="s">
        <v>74</v>
      </c>
      <c r="D190" s="5">
        <v>482593560</v>
      </c>
      <c r="E190">
        <v>124481372.40000001</v>
      </c>
      <c r="F190" t="s">
        <v>33</v>
      </c>
      <c r="G190">
        <v>324</v>
      </c>
      <c r="H190" s="1">
        <f t="shared" si="2"/>
        <v>51501</v>
      </c>
      <c r="I190" t="s">
        <v>15</v>
      </c>
      <c r="J190" s="1">
        <v>41618</v>
      </c>
      <c r="K190" t="s">
        <v>39</v>
      </c>
      <c r="L190" s="3">
        <v>6.3899999999999998E-2</v>
      </c>
      <c r="M190" t="s">
        <v>29</v>
      </c>
      <c r="N190" t="s">
        <v>30</v>
      </c>
      <c r="O190">
        <v>0</v>
      </c>
      <c r="P190" s="1">
        <v>46022</v>
      </c>
      <c r="R190" s="7"/>
      <c r="S190" s="7"/>
    </row>
    <row r="191" spans="1:19" x14ac:dyDescent="0.3">
      <c r="A191" t="s">
        <v>239</v>
      </c>
      <c r="B191" t="s">
        <v>20</v>
      </c>
      <c r="C191" t="s">
        <v>47</v>
      </c>
      <c r="D191" s="5">
        <v>1058644</v>
      </c>
      <c r="E191">
        <v>646783.39</v>
      </c>
      <c r="F191" t="s">
        <v>33</v>
      </c>
      <c r="G191">
        <v>348</v>
      </c>
      <c r="H191" s="1">
        <f t="shared" si="2"/>
        <v>51591</v>
      </c>
      <c r="I191" t="s">
        <v>15</v>
      </c>
      <c r="J191" s="1">
        <v>40977</v>
      </c>
      <c r="K191" t="s">
        <v>22</v>
      </c>
      <c r="L191" s="3">
        <v>4.3899999999999995E-2</v>
      </c>
      <c r="M191" t="s">
        <v>17</v>
      </c>
      <c r="N191" t="s">
        <v>54</v>
      </c>
      <c r="O191">
        <v>1556673.99</v>
      </c>
      <c r="P191" s="1">
        <v>46022</v>
      </c>
      <c r="R191" s="7"/>
      <c r="S191" s="7"/>
    </row>
    <row r="192" spans="1:19" x14ac:dyDescent="0.3">
      <c r="A192" t="s">
        <v>240</v>
      </c>
      <c r="B192" t="s">
        <v>24</v>
      </c>
      <c r="C192" t="s">
        <v>41</v>
      </c>
      <c r="D192" s="5">
        <v>57100</v>
      </c>
      <c r="E192">
        <v>35480.769999999997</v>
      </c>
      <c r="F192" t="s">
        <v>14</v>
      </c>
      <c r="G192">
        <v>306</v>
      </c>
      <c r="H192" s="1">
        <f t="shared" si="2"/>
        <v>49826</v>
      </c>
      <c r="I192" t="s">
        <v>15</v>
      </c>
      <c r="J192" s="1">
        <v>40505</v>
      </c>
      <c r="K192" t="s">
        <v>39</v>
      </c>
      <c r="L192" s="3">
        <v>7.8E-2</v>
      </c>
      <c r="M192" t="s">
        <v>17</v>
      </c>
      <c r="N192" t="s">
        <v>42</v>
      </c>
      <c r="O192">
        <v>60570.9</v>
      </c>
      <c r="P192" s="1">
        <v>46022</v>
      </c>
      <c r="R192" s="7"/>
      <c r="S192" s="7"/>
    </row>
    <row r="193" spans="1:19" x14ac:dyDescent="0.3">
      <c r="A193" t="s">
        <v>241</v>
      </c>
      <c r="B193" t="s">
        <v>24</v>
      </c>
      <c r="C193" t="s">
        <v>41</v>
      </c>
      <c r="D193" s="5">
        <v>35842</v>
      </c>
      <c r="E193">
        <v>19378.64</v>
      </c>
      <c r="F193" t="s">
        <v>14</v>
      </c>
      <c r="G193">
        <v>234</v>
      </c>
      <c r="H193" s="1">
        <f t="shared" si="2"/>
        <v>48548</v>
      </c>
      <c r="I193" t="s">
        <v>15</v>
      </c>
      <c r="J193" s="1">
        <v>41411</v>
      </c>
      <c r="K193" t="s">
        <v>16</v>
      </c>
      <c r="L193" s="3">
        <v>9.2200000000000004E-2</v>
      </c>
      <c r="M193" t="s">
        <v>17</v>
      </c>
      <c r="N193" t="s">
        <v>42</v>
      </c>
      <c r="O193">
        <v>36379.32</v>
      </c>
      <c r="P193" s="1">
        <v>46022</v>
      </c>
      <c r="R193" s="7"/>
      <c r="S193" s="7"/>
    </row>
    <row r="194" spans="1:19" x14ac:dyDescent="0.3">
      <c r="A194" t="s">
        <v>242</v>
      </c>
      <c r="B194" t="s">
        <v>20</v>
      </c>
      <c r="C194" t="s">
        <v>21</v>
      </c>
      <c r="D194" s="5">
        <v>3974629</v>
      </c>
      <c r="E194">
        <v>2703824</v>
      </c>
      <c r="F194" t="s">
        <v>14</v>
      </c>
      <c r="G194">
        <v>240</v>
      </c>
      <c r="H194" s="1">
        <f t="shared" ref="H194:H257" si="3">EOMONTH(J194,G194)</f>
        <v>51226</v>
      </c>
      <c r="I194" t="s">
        <v>15</v>
      </c>
      <c r="J194" s="1">
        <v>43892</v>
      </c>
      <c r="K194" t="s">
        <v>35</v>
      </c>
      <c r="L194" s="3">
        <v>2.23E-2</v>
      </c>
      <c r="M194" t="s">
        <v>29</v>
      </c>
      <c r="N194" t="s">
        <v>30</v>
      </c>
      <c r="O194">
        <v>0</v>
      </c>
      <c r="P194" s="1">
        <v>46022</v>
      </c>
      <c r="R194" s="7"/>
      <c r="S194" s="7"/>
    </row>
    <row r="195" spans="1:19" x14ac:dyDescent="0.3">
      <c r="A195" t="s">
        <v>243</v>
      </c>
      <c r="B195" t="s">
        <v>20</v>
      </c>
      <c r="C195" t="s">
        <v>21</v>
      </c>
      <c r="D195" s="5">
        <v>2909087</v>
      </c>
      <c r="E195">
        <v>892636.1</v>
      </c>
      <c r="F195" t="s">
        <v>33</v>
      </c>
      <c r="G195">
        <v>180</v>
      </c>
      <c r="H195" s="1">
        <f t="shared" si="3"/>
        <v>47848</v>
      </c>
      <c r="I195" t="s">
        <v>15</v>
      </c>
      <c r="J195" s="1">
        <v>42344</v>
      </c>
      <c r="K195" t="s">
        <v>22</v>
      </c>
      <c r="L195" s="3">
        <v>5.2499999999999998E-2</v>
      </c>
      <c r="M195" t="s">
        <v>17</v>
      </c>
      <c r="N195" t="s">
        <v>26</v>
      </c>
      <c r="O195">
        <v>4550542.67</v>
      </c>
      <c r="P195" s="1">
        <v>46022</v>
      </c>
      <c r="R195" s="7"/>
      <c r="S195" s="7"/>
    </row>
    <row r="196" spans="1:19" x14ac:dyDescent="0.3">
      <c r="A196" t="s">
        <v>244</v>
      </c>
      <c r="B196" t="s">
        <v>37</v>
      </c>
      <c r="C196" t="s">
        <v>92</v>
      </c>
      <c r="D196" s="5">
        <v>320945385</v>
      </c>
      <c r="E196">
        <v>191731502.09999999</v>
      </c>
      <c r="F196" t="s">
        <v>33</v>
      </c>
      <c r="G196">
        <v>336</v>
      </c>
      <c r="H196" s="1">
        <f t="shared" si="3"/>
        <v>50556</v>
      </c>
      <c r="I196" t="s">
        <v>15</v>
      </c>
      <c r="J196" s="1">
        <v>40305</v>
      </c>
      <c r="K196" t="s">
        <v>22</v>
      </c>
      <c r="L196" s="3">
        <v>5.7200000000000001E-2</v>
      </c>
      <c r="M196" t="s">
        <v>29</v>
      </c>
      <c r="N196" t="s">
        <v>30</v>
      </c>
      <c r="O196">
        <v>0</v>
      </c>
      <c r="P196" s="1">
        <v>46022</v>
      </c>
      <c r="R196" s="7"/>
      <c r="S196" s="7"/>
    </row>
    <row r="197" spans="1:19" x14ac:dyDescent="0.3">
      <c r="A197" t="s">
        <v>245</v>
      </c>
      <c r="B197" t="s">
        <v>24</v>
      </c>
      <c r="C197" t="s">
        <v>28</v>
      </c>
      <c r="D197" s="5">
        <v>40098</v>
      </c>
      <c r="E197">
        <v>17440.77</v>
      </c>
      <c r="F197" t="s">
        <v>14</v>
      </c>
      <c r="G197">
        <v>174</v>
      </c>
      <c r="H197" s="1">
        <f t="shared" si="3"/>
        <v>48699</v>
      </c>
      <c r="I197" t="s">
        <v>15</v>
      </c>
      <c r="J197" s="1">
        <v>43404</v>
      </c>
      <c r="K197" t="s">
        <v>56</v>
      </c>
      <c r="L197" s="3">
        <v>3.9E-2</v>
      </c>
      <c r="M197" t="s">
        <v>29</v>
      </c>
      <c r="N197" t="s">
        <v>30</v>
      </c>
      <c r="O197">
        <v>0</v>
      </c>
      <c r="P197" s="1">
        <v>46022</v>
      </c>
      <c r="R197" s="7"/>
      <c r="S197" s="7"/>
    </row>
    <row r="198" spans="1:19" x14ac:dyDescent="0.3">
      <c r="A198" t="s">
        <v>246</v>
      </c>
      <c r="B198" t="s">
        <v>37</v>
      </c>
      <c r="C198" t="s">
        <v>78</v>
      </c>
      <c r="D198" s="5">
        <v>204025532</v>
      </c>
      <c r="E198">
        <v>141899866.09999999</v>
      </c>
      <c r="F198" t="s">
        <v>48</v>
      </c>
      <c r="G198">
        <v>312</v>
      </c>
      <c r="H198" s="1">
        <f t="shared" si="3"/>
        <v>50344</v>
      </c>
      <c r="I198" t="s">
        <v>15</v>
      </c>
      <c r="J198" s="1">
        <v>40822</v>
      </c>
      <c r="K198" t="s">
        <v>39</v>
      </c>
      <c r="L198" s="3">
        <v>7.2499999999999995E-2</v>
      </c>
      <c r="M198" t="s">
        <v>17</v>
      </c>
      <c r="N198" t="s">
        <v>18</v>
      </c>
      <c r="O198">
        <v>285729318.5</v>
      </c>
      <c r="P198" s="1">
        <v>46022</v>
      </c>
      <c r="R198" s="7"/>
      <c r="S198" s="7"/>
    </row>
    <row r="199" spans="1:19" x14ac:dyDescent="0.3">
      <c r="A199" t="s">
        <v>247</v>
      </c>
      <c r="B199" t="s">
        <v>24</v>
      </c>
      <c r="C199" t="s">
        <v>32</v>
      </c>
      <c r="D199" s="5">
        <v>45839</v>
      </c>
      <c r="E199">
        <v>10410.18</v>
      </c>
      <c r="F199" t="s">
        <v>33</v>
      </c>
      <c r="G199">
        <v>66</v>
      </c>
      <c r="H199" s="1">
        <f t="shared" si="3"/>
        <v>45443</v>
      </c>
      <c r="I199" t="s">
        <v>15</v>
      </c>
      <c r="J199" s="1">
        <v>43405</v>
      </c>
      <c r="K199" t="s">
        <v>16</v>
      </c>
      <c r="L199" s="3">
        <v>9.5000000000000001E-2</v>
      </c>
      <c r="M199" t="s">
        <v>29</v>
      </c>
      <c r="N199" t="s">
        <v>30</v>
      </c>
      <c r="O199">
        <v>0</v>
      </c>
      <c r="P199" s="1">
        <v>46022</v>
      </c>
      <c r="R199" s="7"/>
      <c r="S199" s="7"/>
    </row>
    <row r="200" spans="1:19" x14ac:dyDescent="0.3">
      <c r="A200" t="s">
        <v>248</v>
      </c>
      <c r="B200" t="s">
        <v>24</v>
      </c>
      <c r="C200" t="s">
        <v>25</v>
      </c>
      <c r="D200" s="5">
        <v>579726</v>
      </c>
      <c r="E200">
        <v>355829.82</v>
      </c>
      <c r="F200" t="s">
        <v>14</v>
      </c>
      <c r="G200">
        <v>198</v>
      </c>
      <c r="H200" s="1">
        <f t="shared" si="3"/>
        <v>46721</v>
      </c>
      <c r="I200" t="s">
        <v>15</v>
      </c>
      <c r="J200" s="1">
        <v>40676</v>
      </c>
      <c r="K200" t="s">
        <v>35</v>
      </c>
      <c r="L200" s="3">
        <v>4.2199999999999994E-2</v>
      </c>
      <c r="M200" t="s">
        <v>17</v>
      </c>
      <c r="N200" t="s">
        <v>26</v>
      </c>
      <c r="O200">
        <v>709696.98</v>
      </c>
      <c r="P200" s="1">
        <v>46022</v>
      </c>
      <c r="R200" s="7"/>
      <c r="S200" s="7"/>
    </row>
    <row r="201" spans="1:19" x14ac:dyDescent="0.3">
      <c r="A201" t="s">
        <v>249</v>
      </c>
      <c r="B201" t="s">
        <v>24</v>
      </c>
      <c r="C201" t="s">
        <v>25</v>
      </c>
      <c r="D201" s="5">
        <v>242159</v>
      </c>
      <c r="E201">
        <v>64594.39</v>
      </c>
      <c r="F201" t="s">
        <v>14</v>
      </c>
      <c r="G201">
        <v>228</v>
      </c>
      <c r="H201" s="1">
        <f t="shared" si="3"/>
        <v>48548</v>
      </c>
      <c r="I201" t="s">
        <v>15</v>
      </c>
      <c r="J201" s="1">
        <v>41598</v>
      </c>
      <c r="K201" t="s">
        <v>39</v>
      </c>
      <c r="L201" s="3">
        <v>6.4000000000000001E-2</v>
      </c>
      <c r="M201" t="s">
        <v>17</v>
      </c>
      <c r="N201" t="s">
        <v>26</v>
      </c>
      <c r="O201">
        <v>299755.95</v>
      </c>
      <c r="P201" s="1">
        <v>46022</v>
      </c>
      <c r="R201" s="7"/>
      <c r="S201" s="7"/>
    </row>
    <row r="202" spans="1:19" x14ac:dyDescent="0.3">
      <c r="A202" t="s">
        <v>250</v>
      </c>
      <c r="B202" t="s">
        <v>37</v>
      </c>
      <c r="C202" t="s">
        <v>92</v>
      </c>
      <c r="D202" s="5">
        <v>350990568</v>
      </c>
      <c r="E202">
        <v>123120035.09999999</v>
      </c>
      <c r="F202" t="s">
        <v>48</v>
      </c>
      <c r="G202">
        <v>348</v>
      </c>
      <c r="H202" s="1">
        <f t="shared" si="3"/>
        <v>52717</v>
      </c>
      <c r="I202" t="s">
        <v>15</v>
      </c>
      <c r="J202" s="1">
        <v>42100</v>
      </c>
      <c r="K202" t="s">
        <v>16</v>
      </c>
      <c r="L202" s="3">
        <v>9.2100000000000015E-2</v>
      </c>
      <c r="M202" t="s">
        <v>17</v>
      </c>
      <c r="N202" t="s">
        <v>18</v>
      </c>
      <c r="O202">
        <v>525369822.10000002</v>
      </c>
      <c r="P202" s="1">
        <v>46022</v>
      </c>
      <c r="R202" s="7"/>
      <c r="S202" s="7"/>
    </row>
    <row r="203" spans="1:19" x14ac:dyDescent="0.3">
      <c r="A203" t="s">
        <v>251</v>
      </c>
      <c r="B203" t="s">
        <v>24</v>
      </c>
      <c r="C203" t="s">
        <v>25</v>
      </c>
      <c r="D203" s="5">
        <v>813935</v>
      </c>
      <c r="E203">
        <v>241607.57</v>
      </c>
      <c r="F203" t="s">
        <v>14</v>
      </c>
      <c r="G203">
        <v>60</v>
      </c>
      <c r="H203" s="1">
        <f t="shared" si="3"/>
        <v>46295</v>
      </c>
      <c r="I203" t="s">
        <v>15</v>
      </c>
      <c r="J203" s="1">
        <v>44451</v>
      </c>
      <c r="K203" t="s">
        <v>16</v>
      </c>
      <c r="L203" s="3">
        <v>9.8000000000000004E-2</v>
      </c>
      <c r="M203" t="s">
        <v>17</v>
      </c>
      <c r="N203" t="s">
        <v>26</v>
      </c>
      <c r="O203">
        <v>1025673.99</v>
      </c>
      <c r="P203" s="1">
        <v>46022</v>
      </c>
      <c r="R203" s="7"/>
      <c r="S203" s="7"/>
    </row>
    <row r="204" spans="1:19" x14ac:dyDescent="0.3">
      <c r="A204" t="s">
        <v>252</v>
      </c>
      <c r="B204" t="s">
        <v>24</v>
      </c>
      <c r="C204" t="s">
        <v>32</v>
      </c>
      <c r="D204" s="5">
        <v>16521</v>
      </c>
      <c r="E204">
        <v>4370.78</v>
      </c>
      <c r="F204" t="s">
        <v>33</v>
      </c>
      <c r="G204">
        <v>162</v>
      </c>
      <c r="H204" s="1">
        <f t="shared" si="3"/>
        <v>47118</v>
      </c>
      <c r="I204" t="s">
        <v>15</v>
      </c>
      <c r="J204" s="1">
        <v>42158</v>
      </c>
      <c r="K204" t="s">
        <v>22</v>
      </c>
      <c r="L204" s="3">
        <v>4.3499999999999997E-2</v>
      </c>
      <c r="M204" t="s">
        <v>29</v>
      </c>
      <c r="N204" t="s">
        <v>30</v>
      </c>
      <c r="O204">
        <v>0</v>
      </c>
      <c r="P204" s="1">
        <v>46022</v>
      </c>
      <c r="R204" s="7"/>
      <c r="S204" s="7"/>
    </row>
    <row r="205" spans="1:19" x14ac:dyDescent="0.3">
      <c r="A205" t="s">
        <v>253</v>
      </c>
      <c r="B205" t="s">
        <v>24</v>
      </c>
      <c r="C205" t="s">
        <v>28</v>
      </c>
      <c r="D205" s="5">
        <v>43002</v>
      </c>
      <c r="E205">
        <v>36256.51</v>
      </c>
      <c r="F205" t="s">
        <v>14</v>
      </c>
      <c r="G205">
        <v>198</v>
      </c>
      <c r="H205" s="1">
        <f t="shared" si="3"/>
        <v>50982</v>
      </c>
      <c r="I205" t="s">
        <v>15</v>
      </c>
      <c r="J205" s="1">
        <v>44938</v>
      </c>
      <c r="K205" t="s">
        <v>16</v>
      </c>
      <c r="L205" s="3">
        <v>0.1167</v>
      </c>
      <c r="M205" t="s">
        <v>29</v>
      </c>
      <c r="N205" t="s">
        <v>30</v>
      </c>
      <c r="O205">
        <v>0</v>
      </c>
      <c r="P205" s="1">
        <v>46022</v>
      </c>
      <c r="R205" s="7"/>
      <c r="S205" s="7"/>
    </row>
    <row r="206" spans="1:19" x14ac:dyDescent="0.3">
      <c r="A206" t="s">
        <v>254</v>
      </c>
      <c r="B206" t="s">
        <v>12</v>
      </c>
      <c r="C206" t="s">
        <v>61</v>
      </c>
      <c r="D206" s="5">
        <v>45401019</v>
      </c>
      <c r="E206">
        <v>16214375.310000001</v>
      </c>
      <c r="F206" t="s">
        <v>48</v>
      </c>
      <c r="G206">
        <v>240</v>
      </c>
      <c r="H206" s="1">
        <f t="shared" si="3"/>
        <v>47999</v>
      </c>
      <c r="I206" t="s">
        <v>15</v>
      </c>
      <c r="J206" s="1">
        <v>40665</v>
      </c>
      <c r="K206" t="s">
        <v>22</v>
      </c>
      <c r="L206" s="3">
        <v>6.0599999999999994E-2</v>
      </c>
      <c r="M206" t="s">
        <v>17</v>
      </c>
      <c r="N206" t="s">
        <v>26</v>
      </c>
      <c r="O206">
        <v>58195706.189999998</v>
      </c>
      <c r="P206" s="1">
        <v>46022</v>
      </c>
      <c r="R206" s="7"/>
      <c r="S206" s="7"/>
    </row>
    <row r="207" spans="1:19" x14ac:dyDescent="0.3">
      <c r="A207" t="s">
        <v>255</v>
      </c>
      <c r="B207" t="s">
        <v>37</v>
      </c>
      <c r="C207" t="s">
        <v>74</v>
      </c>
      <c r="D207" s="5">
        <v>145683199</v>
      </c>
      <c r="E207">
        <v>136128042.30000001</v>
      </c>
      <c r="F207" t="s">
        <v>14</v>
      </c>
      <c r="G207">
        <v>234</v>
      </c>
      <c r="H207" s="1">
        <f t="shared" si="3"/>
        <v>51166</v>
      </c>
      <c r="I207" t="s">
        <v>15</v>
      </c>
      <c r="J207" s="1">
        <v>44018</v>
      </c>
      <c r="K207" t="s">
        <v>22</v>
      </c>
      <c r="L207" s="3">
        <v>3.6499999999999998E-2</v>
      </c>
      <c r="M207" t="s">
        <v>17</v>
      </c>
      <c r="N207" t="s">
        <v>42</v>
      </c>
      <c r="O207">
        <v>230819689</v>
      </c>
      <c r="P207" s="1">
        <v>46022</v>
      </c>
      <c r="R207" s="7"/>
      <c r="S207" s="7"/>
    </row>
    <row r="208" spans="1:19" x14ac:dyDescent="0.3">
      <c r="A208" t="s">
        <v>256</v>
      </c>
      <c r="B208" t="s">
        <v>24</v>
      </c>
      <c r="C208" t="s">
        <v>32</v>
      </c>
      <c r="D208" s="5">
        <v>49193</v>
      </c>
      <c r="E208">
        <v>47861.1</v>
      </c>
      <c r="F208" t="s">
        <v>33</v>
      </c>
      <c r="G208">
        <v>186</v>
      </c>
      <c r="H208" s="1">
        <f t="shared" si="3"/>
        <v>50801</v>
      </c>
      <c r="I208" t="s">
        <v>15</v>
      </c>
      <c r="J208" s="1">
        <v>45131</v>
      </c>
      <c r="K208" t="s">
        <v>56</v>
      </c>
      <c r="L208" s="3">
        <v>5.7300000000000004E-2</v>
      </c>
      <c r="M208" t="s">
        <v>29</v>
      </c>
      <c r="N208" t="s">
        <v>30</v>
      </c>
      <c r="O208">
        <v>0</v>
      </c>
      <c r="P208" s="1">
        <v>46022</v>
      </c>
      <c r="R208" s="7"/>
      <c r="S208" s="7"/>
    </row>
    <row r="209" spans="1:19" x14ac:dyDescent="0.3">
      <c r="A209" t="s">
        <v>257</v>
      </c>
      <c r="B209" t="s">
        <v>24</v>
      </c>
      <c r="C209" t="s">
        <v>41</v>
      </c>
      <c r="D209" s="5">
        <v>22664</v>
      </c>
      <c r="E209">
        <v>13918.77</v>
      </c>
      <c r="F209" t="s">
        <v>14</v>
      </c>
      <c r="G209">
        <v>228</v>
      </c>
      <c r="H209" s="1">
        <f t="shared" si="3"/>
        <v>48060</v>
      </c>
      <c r="I209" t="s">
        <v>15</v>
      </c>
      <c r="J209" s="1">
        <v>41106</v>
      </c>
      <c r="K209" t="s">
        <v>56</v>
      </c>
      <c r="L209" s="3">
        <v>2.63E-2</v>
      </c>
      <c r="M209" t="s">
        <v>17</v>
      </c>
      <c r="N209" t="s">
        <v>42</v>
      </c>
      <c r="O209">
        <v>23006.7</v>
      </c>
      <c r="P209" s="1">
        <v>46022</v>
      </c>
      <c r="R209" s="7"/>
      <c r="S209" s="7"/>
    </row>
    <row r="210" spans="1:19" x14ac:dyDescent="0.3">
      <c r="A210" t="s">
        <v>258</v>
      </c>
      <c r="B210" t="s">
        <v>24</v>
      </c>
      <c r="C210" t="s">
        <v>28</v>
      </c>
      <c r="D210" s="5">
        <v>10899</v>
      </c>
      <c r="E210">
        <v>2492.56</v>
      </c>
      <c r="F210" t="s">
        <v>33</v>
      </c>
      <c r="G210">
        <v>276</v>
      </c>
      <c r="H210" s="1">
        <f t="shared" si="3"/>
        <v>51682</v>
      </c>
      <c r="I210" t="s">
        <v>15</v>
      </c>
      <c r="J210" s="1">
        <v>43259</v>
      </c>
      <c r="K210" t="s">
        <v>39</v>
      </c>
      <c r="L210" s="3">
        <v>7.1099999999999997E-2</v>
      </c>
      <c r="M210" t="s">
        <v>29</v>
      </c>
      <c r="N210" t="s">
        <v>30</v>
      </c>
      <c r="O210">
        <v>0</v>
      </c>
      <c r="P210" s="1">
        <v>46022</v>
      </c>
      <c r="R210" s="7"/>
      <c r="S210" s="7"/>
    </row>
    <row r="211" spans="1:19" x14ac:dyDescent="0.3">
      <c r="A211" t="s">
        <v>259</v>
      </c>
      <c r="B211" t="s">
        <v>24</v>
      </c>
      <c r="C211" t="s">
        <v>41</v>
      </c>
      <c r="D211" s="5">
        <v>26580</v>
      </c>
      <c r="E211">
        <v>11618.05</v>
      </c>
      <c r="F211" t="s">
        <v>14</v>
      </c>
      <c r="G211">
        <v>120</v>
      </c>
      <c r="H211" s="1">
        <f t="shared" si="3"/>
        <v>46934</v>
      </c>
      <c r="I211" t="s">
        <v>15</v>
      </c>
      <c r="J211" s="1">
        <v>43276</v>
      </c>
      <c r="K211" t="s">
        <v>22</v>
      </c>
      <c r="L211" s="3">
        <v>5.3899999999999997E-2</v>
      </c>
      <c r="M211" t="s">
        <v>17</v>
      </c>
      <c r="N211" t="s">
        <v>42</v>
      </c>
      <c r="O211">
        <v>27521.87</v>
      </c>
      <c r="P211" s="1">
        <v>46022</v>
      </c>
      <c r="R211" s="7"/>
      <c r="S211" s="7"/>
    </row>
    <row r="212" spans="1:19" x14ac:dyDescent="0.3">
      <c r="A212" t="s">
        <v>260</v>
      </c>
      <c r="B212" t="s">
        <v>24</v>
      </c>
      <c r="C212" t="s">
        <v>32</v>
      </c>
      <c r="D212" s="5">
        <v>44806</v>
      </c>
      <c r="E212">
        <v>36649.06</v>
      </c>
      <c r="F212" t="s">
        <v>33</v>
      </c>
      <c r="G212">
        <v>162</v>
      </c>
      <c r="H212" s="1">
        <f t="shared" si="3"/>
        <v>48610</v>
      </c>
      <c r="I212" t="s">
        <v>15</v>
      </c>
      <c r="J212" s="1">
        <v>43664</v>
      </c>
      <c r="K212" t="s">
        <v>22</v>
      </c>
      <c r="L212" s="3">
        <v>4.1200000000000001E-2</v>
      </c>
      <c r="M212" t="s">
        <v>29</v>
      </c>
      <c r="N212" t="s">
        <v>30</v>
      </c>
      <c r="O212">
        <v>0</v>
      </c>
      <c r="P212" s="1">
        <v>46022</v>
      </c>
      <c r="R212" s="7"/>
      <c r="S212" s="7"/>
    </row>
    <row r="213" spans="1:19" x14ac:dyDescent="0.3">
      <c r="A213" t="s">
        <v>261</v>
      </c>
      <c r="B213" t="s">
        <v>12</v>
      </c>
      <c r="C213" t="s">
        <v>63</v>
      </c>
      <c r="D213" s="5">
        <v>33060335</v>
      </c>
      <c r="E213">
        <v>14237488.039999999</v>
      </c>
      <c r="F213" t="s">
        <v>33</v>
      </c>
      <c r="G213">
        <v>216</v>
      </c>
      <c r="H213" s="1">
        <f t="shared" si="3"/>
        <v>48334</v>
      </c>
      <c r="I213" t="s">
        <v>15</v>
      </c>
      <c r="J213" s="1">
        <v>41758</v>
      </c>
      <c r="K213" t="s">
        <v>35</v>
      </c>
      <c r="L213" s="3">
        <v>4.1700000000000001E-2</v>
      </c>
      <c r="M213" t="s">
        <v>29</v>
      </c>
      <c r="N213" t="s">
        <v>30</v>
      </c>
      <c r="O213">
        <v>0</v>
      </c>
      <c r="P213" s="1">
        <v>46022</v>
      </c>
      <c r="R213" s="7"/>
      <c r="S213" s="7"/>
    </row>
    <row r="214" spans="1:19" x14ac:dyDescent="0.3">
      <c r="A214" t="s">
        <v>262</v>
      </c>
      <c r="B214" t="s">
        <v>24</v>
      </c>
      <c r="C214" t="s">
        <v>32</v>
      </c>
      <c r="D214" s="5">
        <v>8453</v>
      </c>
      <c r="E214">
        <v>1507.32</v>
      </c>
      <c r="F214" t="s">
        <v>33</v>
      </c>
      <c r="G214">
        <v>72</v>
      </c>
      <c r="H214" s="1">
        <f t="shared" si="3"/>
        <v>45443</v>
      </c>
      <c r="I214" t="s">
        <v>15</v>
      </c>
      <c r="J214" s="1">
        <v>43251</v>
      </c>
      <c r="K214" t="s">
        <v>39</v>
      </c>
      <c r="L214" s="3">
        <v>6.3200000000000006E-2</v>
      </c>
      <c r="M214" t="s">
        <v>29</v>
      </c>
      <c r="N214" t="s">
        <v>30</v>
      </c>
      <c r="O214">
        <v>0</v>
      </c>
      <c r="P214" s="1">
        <v>46022</v>
      </c>
      <c r="R214" s="7"/>
      <c r="S214" s="7"/>
    </row>
    <row r="215" spans="1:19" x14ac:dyDescent="0.3">
      <c r="A215" t="s">
        <v>263</v>
      </c>
      <c r="B215" t="s">
        <v>20</v>
      </c>
      <c r="C215" t="s">
        <v>51</v>
      </c>
      <c r="D215" s="5">
        <v>2229601</v>
      </c>
      <c r="E215">
        <v>1340227.43</v>
      </c>
      <c r="F215" t="s">
        <v>48</v>
      </c>
      <c r="G215">
        <v>282</v>
      </c>
      <c r="H215" s="1">
        <f t="shared" si="3"/>
        <v>49187</v>
      </c>
      <c r="I215" t="s">
        <v>15</v>
      </c>
      <c r="J215" s="1">
        <v>40578</v>
      </c>
      <c r="K215" t="s">
        <v>81</v>
      </c>
      <c r="L215" s="3">
        <v>0.04</v>
      </c>
      <c r="M215" t="s">
        <v>29</v>
      </c>
      <c r="N215" t="s">
        <v>30</v>
      </c>
      <c r="O215">
        <v>0</v>
      </c>
      <c r="P215" s="1">
        <v>46022</v>
      </c>
      <c r="R215" s="7"/>
      <c r="S215" s="7"/>
    </row>
    <row r="216" spans="1:19" x14ac:dyDescent="0.3">
      <c r="A216" t="s">
        <v>264</v>
      </c>
      <c r="B216" t="s">
        <v>24</v>
      </c>
      <c r="C216" t="s">
        <v>41</v>
      </c>
      <c r="D216" s="5">
        <v>65377</v>
      </c>
      <c r="E216">
        <v>56263.86</v>
      </c>
      <c r="F216" t="s">
        <v>14</v>
      </c>
      <c r="G216">
        <v>108</v>
      </c>
      <c r="H216" s="1">
        <f t="shared" si="3"/>
        <v>46295</v>
      </c>
      <c r="I216" t="s">
        <v>15</v>
      </c>
      <c r="J216" s="1">
        <v>42979</v>
      </c>
      <c r="K216" t="s">
        <v>39</v>
      </c>
      <c r="L216" s="3">
        <v>6.4600000000000005E-2</v>
      </c>
      <c r="M216" t="s">
        <v>17</v>
      </c>
      <c r="N216" t="s">
        <v>42</v>
      </c>
      <c r="O216">
        <v>73824.240000000005</v>
      </c>
      <c r="P216" s="1">
        <v>46022</v>
      </c>
      <c r="R216" s="7"/>
      <c r="S216" s="7"/>
    </row>
    <row r="217" spans="1:19" x14ac:dyDescent="0.3">
      <c r="A217" t="s">
        <v>265</v>
      </c>
      <c r="B217" t="s">
        <v>24</v>
      </c>
      <c r="C217" t="s">
        <v>28</v>
      </c>
      <c r="D217" s="5">
        <v>5090</v>
      </c>
      <c r="E217">
        <v>4154.93</v>
      </c>
      <c r="F217" t="s">
        <v>33</v>
      </c>
      <c r="G217">
        <v>354</v>
      </c>
      <c r="H217" s="1">
        <f t="shared" si="3"/>
        <v>53358</v>
      </c>
      <c r="I217" t="s">
        <v>15</v>
      </c>
      <c r="J217" s="1">
        <v>42556</v>
      </c>
      <c r="K217" t="s">
        <v>56</v>
      </c>
      <c r="L217" s="3">
        <v>3.1E-2</v>
      </c>
      <c r="M217" t="s">
        <v>29</v>
      </c>
      <c r="N217" t="s">
        <v>30</v>
      </c>
      <c r="O217">
        <v>0</v>
      </c>
      <c r="P217" s="1">
        <v>46022</v>
      </c>
      <c r="R217" s="7"/>
      <c r="S217" s="7"/>
    </row>
    <row r="218" spans="1:19" x14ac:dyDescent="0.3">
      <c r="A218" t="s">
        <v>266</v>
      </c>
      <c r="B218" t="s">
        <v>12</v>
      </c>
      <c r="C218" t="s">
        <v>61</v>
      </c>
      <c r="D218" s="5">
        <v>44238402</v>
      </c>
      <c r="E218">
        <v>11396291.300000001</v>
      </c>
      <c r="F218" t="s">
        <v>48</v>
      </c>
      <c r="G218">
        <v>180</v>
      </c>
      <c r="H218" s="1">
        <f t="shared" si="3"/>
        <v>50739</v>
      </c>
      <c r="I218" t="s">
        <v>15</v>
      </c>
      <c r="J218" s="1">
        <v>45240</v>
      </c>
      <c r="K218" t="s">
        <v>35</v>
      </c>
      <c r="L218" s="3">
        <v>4.99E-2</v>
      </c>
      <c r="M218" t="s">
        <v>29</v>
      </c>
      <c r="N218" t="s">
        <v>30</v>
      </c>
      <c r="O218">
        <v>0</v>
      </c>
      <c r="P218" s="1">
        <v>46022</v>
      </c>
      <c r="R218" s="7"/>
      <c r="S218" s="7"/>
    </row>
    <row r="219" spans="1:19" x14ac:dyDescent="0.3">
      <c r="A219" t="s">
        <v>267</v>
      </c>
      <c r="B219" t="s">
        <v>24</v>
      </c>
      <c r="C219" t="s">
        <v>28</v>
      </c>
      <c r="D219" s="5">
        <v>40377</v>
      </c>
      <c r="E219">
        <v>28485.19</v>
      </c>
      <c r="F219" t="s">
        <v>48</v>
      </c>
      <c r="G219">
        <v>210</v>
      </c>
      <c r="H219" s="1">
        <f t="shared" si="3"/>
        <v>47634</v>
      </c>
      <c r="I219" t="s">
        <v>15</v>
      </c>
      <c r="J219" s="1">
        <v>41227</v>
      </c>
      <c r="K219" t="s">
        <v>22</v>
      </c>
      <c r="L219" s="3">
        <v>3.9300000000000002E-2</v>
      </c>
      <c r="M219" t="s">
        <v>29</v>
      </c>
      <c r="N219" t="s">
        <v>30</v>
      </c>
      <c r="O219">
        <v>0</v>
      </c>
      <c r="P219" s="1">
        <v>46022</v>
      </c>
      <c r="R219" s="7"/>
      <c r="S219" s="7"/>
    </row>
    <row r="220" spans="1:19" x14ac:dyDescent="0.3">
      <c r="A220" t="s">
        <v>268</v>
      </c>
      <c r="B220" t="s">
        <v>20</v>
      </c>
      <c r="C220" t="s">
        <v>51</v>
      </c>
      <c r="D220" s="5">
        <v>2550774</v>
      </c>
      <c r="E220">
        <v>761288.15</v>
      </c>
      <c r="F220" t="s">
        <v>33</v>
      </c>
      <c r="G220">
        <v>210</v>
      </c>
      <c r="H220" s="1">
        <f t="shared" si="3"/>
        <v>47238</v>
      </c>
      <c r="I220" t="s">
        <v>15</v>
      </c>
      <c r="J220" s="1">
        <v>40830</v>
      </c>
      <c r="K220" t="s">
        <v>22</v>
      </c>
      <c r="L220" s="3">
        <v>5.5E-2</v>
      </c>
      <c r="M220" t="s">
        <v>17</v>
      </c>
      <c r="N220" t="s">
        <v>42</v>
      </c>
      <c r="O220">
        <v>4898096.01</v>
      </c>
      <c r="P220" s="1">
        <v>46022</v>
      </c>
      <c r="R220" s="7"/>
      <c r="S220" s="7"/>
    </row>
    <row r="221" spans="1:19" x14ac:dyDescent="0.3">
      <c r="A221" t="s">
        <v>269</v>
      </c>
      <c r="B221" t="s">
        <v>24</v>
      </c>
      <c r="C221" t="s">
        <v>25</v>
      </c>
      <c r="D221" s="5">
        <v>970414</v>
      </c>
      <c r="E221">
        <v>287617.87</v>
      </c>
      <c r="F221" t="s">
        <v>14</v>
      </c>
      <c r="G221">
        <v>186</v>
      </c>
      <c r="H221" s="1">
        <f t="shared" si="3"/>
        <v>48091</v>
      </c>
      <c r="I221" t="s">
        <v>15</v>
      </c>
      <c r="J221" s="1">
        <v>42401</v>
      </c>
      <c r="K221" t="s">
        <v>22</v>
      </c>
      <c r="L221" s="3">
        <v>3.9699999999999999E-2</v>
      </c>
      <c r="M221" t="s">
        <v>17</v>
      </c>
      <c r="N221" t="s">
        <v>26</v>
      </c>
      <c r="O221">
        <v>1215090.31</v>
      </c>
      <c r="P221" s="1">
        <v>46022</v>
      </c>
      <c r="R221" s="7"/>
      <c r="S221" s="7"/>
    </row>
    <row r="222" spans="1:19" x14ac:dyDescent="0.3">
      <c r="A222" t="s">
        <v>270</v>
      </c>
      <c r="B222" t="s">
        <v>12</v>
      </c>
      <c r="C222" t="s">
        <v>63</v>
      </c>
      <c r="D222" s="5">
        <v>21470288</v>
      </c>
      <c r="E222">
        <v>19036944.219999999</v>
      </c>
      <c r="F222" t="s">
        <v>33</v>
      </c>
      <c r="G222">
        <v>168</v>
      </c>
      <c r="H222" s="1">
        <f t="shared" si="3"/>
        <v>50040</v>
      </c>
      <c r="I222" t="s">
        <v>15</v>
      </c>
      <c r="J222" s="1">
        <v>44916</v>
      </c>
      <c r="K222" t="s">
        <v>22</v>
      </c>
      <c r="L222" s="3">
        <v>5.1500000000000004E-2</v>
      </c>
      <c r="M222" t="s">
        <v>17</v>
      </c>
      <c r="N222" t="s">
        <v>54</v>
      </c>
      <c r="O222">
        <v>29131343.190000001</v>
      </c>
      <c r="P222" s="1">
        <v>46022</v>
      </c>
      <c r="R222" s="7"/>
      <c r="S222" s="7"/>
    </row>
    <row r="223" spans="1:19" x14ac:dyDescent="0.3">
      <c r="A223" t="s">
        <v>271</v>
      </c>
      <c r="B223" t="s">
        <v>37</v>
      </c>
      <c r="C223" t="s">
        <v>92</v>
      </c>
      <c r="D223" s="5">
        <v>492214056</v>
      </c>
      <c r="E223" s="4">
        <v>159822916.80000001</v>
      </c>
      <c r="F223" t="s">
        <v>48</v>
      </c>
      <c r="G223">
        <v>234</v>
      </c>
      <c r="H223" s="1">
        <f t="shared" si="3"/>
        <v>49734</v>
      </c>
      <c r="I223" t="s">
        <v>15</v>
      </c>
      <c r="J223" s="1">
        <v>42593</v>
      </c>
      <c r="K223" t="s">
        <v>22</v>
      </c>
      <c r="L223" s="3">
        <v>0.1356</v>
      </c>
      <c r="M223" t="s">
        <v>17</v>
      </c>
      <c r="N223" t="s">
        <v>54</v>
      </c>
      <c r="O223">
        <v>636034738.39999998</v>
      </c>
      <c r="P223" s="1">
        <v>46022</v>
      </c>
      <c r="R223" s="7"/>
      <c r="S223" s="7"/>
    </row>
    <row r="224" spans="1:19" x14ac:dyDescent="0.3">
      <c r="A224" t="s">
        <v>272</v>
      </c>
      <c r="B224" t="s">
        <v>24</v>
      </c>
      <c r="C224" t="s">
        <v>32</v>
      </c>
      <c r="D224" s="5">
        <v>33728</v>
      </c>
      <c r="E224">
        <v>11363.75</v>
      </c>
      <c r="F224" t="s">
        <v>33</v>
      </c>
      <c r="G224">
        <v>60</v>
      </c>
      <c r="H224" s="1">
        <f t="shared" si="3"/>
        <v>45504</v>
      </c>
      <c r="I224" t="s">
        <v>15</v>
      </c>
      <c r="J224" s="1">
        <v>43649</v>
      </c>
      <c r="K224" t="s">
        <v>39</v>
      </c>
      <c r="L224" s="3">
        <v>7.0599999999999996E-2</v>
      </c>
      <c r="M224" t="s">
        <v>29</v>
      </c>
      <c r="N224" t="s">
        <v>30</v>
      </c>
      <c r="O224">
        <v>0</v>
      </c>
      <c r="P224" s="1">
        <v>46022</v>
      </c>
      <c r="R224" s="7"/>
      <c r="S224" s="7"/>
    </row>
    <row r="225" spans="1:19" x14ac:dyDescent="0.3">
      <c r="A225" t="s">
        <v>273</v>
      </c>
      <c r="B225" t="s">
        <v>24</v>
      </c>
      <c r="C225" t="s">
        <v>28</v>
      </c>
      <c r="D225" s="5">
        <v>32099</v>
      </c>
      <c r="E225">
        <v>3228.76</v>
      </c>
      <c r="F225" t="s">
        <v>33</v>
      </c>
      <c r="G225">
        <v>150</v>
      </c>
      <c r="H225" s="1">
        <f t="shared" si="3"/>
        <v>48152</v>
      </c>
      <c r="I225" t="s">
        <v>15</v>
      </c>
      <c r="J225" s="1">
        <v>43581</v>
      </c>
      <c r="K225" t="s">
        <v>56</v>
      </c>
      <c r="L225" s="3">
        <v>3.0099999999999998E-2</v>
      </c>
      <c r="M225" t="s">
        <v>29</v>
      </c>
      <c r="N225" t="s">
        <v>30</v>
      </c>
      <c r="O225">
        <v>0</v>
      </c>
      <c r="P225" s="1">
        <v>46022</v>
      </c>
      <c r="R225" s="7"/>
      <c r="S225" s="7"/>
    </row>
    <row r="226" spans="1:19" x14ac:dyDescent="0.3">
      <c r="A226" t="s">
        <v>274</v>
      </c>
      <c r="B226" t="s">
        <v>24</v>
      </c>
      <c r="C226" t="s">
        <v>41</v>
      </c>
      <c r="D226" s="5">
        <v>24936</v>
      </c>
      <c r="E226">
        <v>22033.45</v>
      </c>
      <c r="F226" t="s">
        <v>14</v>
      </c>
      <c r="G226">
        <v>258</v>
      </c>
      <c r="H226" s="1">
        <f t="shared" si="3"/>
        <v>50495</v>
      </c>
      <c r="I226" t="s">
        <v>15</v>
      </c>
      <c r="J226" s="1">
        <v>42636</v>
      </c>
      <c r="K226" t="s">
        <v>22</v>
      </c>
      <c r="L226" s="3">
        <v>4.7500000000000001E-2</v>
      </c>
      <c r="M226" t="s">
        <v>17</v>
      </c>
      <c r="N226" t="s">
        <v>42</v>
      </c>
      <c r="O226">
        <v>27437.21</v>
      </c>
      <c r="P226" s="1">
        <v>46022</v>
      </c>
      <c r="R226" s="7"/>
      <c r="S226" s="7"/>
    </row>
    <row r="227" spans="1:19" x14ac:dyDescent="0.3">
      <c r="A227" t="s">
        <v>275</v>
      </c>
      <c r="B227" t="s">
        <v>24</v>
      </c>
      <c r="C227" t="s">
        <v>32</v>
      </c>
      <c r="D227" s="5">
        <v>44214</v>
      </c>
      <c r="E227">
        <v>35961.18</v>
      </c>
      <c r="F227" t="s">
        <v>33</v>
      </c>
      <c r="G227">
        <v>228</v>
      </c>
      <c r="H227" s="1">
        <f t="shared" si="3"/>
        <v>48610</v>
      </c>
      <c r="I227" t="s">
        <v>15</v>
      </c>
      <c r="J227" s="1">
        <v>41660</v>
      </c>
      <c r="K227" t="s">
        <v>16</v>
      </c>
      <c r="L227" s="3">
        <v>9.1300000000000006E-2</v>
      </c>
      <c r="M227" t="s">
        <v>29</v>
      </c>
      <c r="N227" t="s">
        <v>30</v>
      </c>
      <c r="O227">
        <v>0</v>
      </c>
      <c r="P227" s="1">
        <v>46022</v>
      </c>
      <c r="R227" s="7"/>
      <c r="S227" s="7"/>
    </row>
    <row r="228" spans="1:19" x14ac:dyDescent="0.3">
      <c r="A228" t="s">
        <v>276</v>
      </c>
      <c r="B228" t="s">
        <v>24</v>
      </c>
      <c r="C228" t="s">
        <v>25</v>
      </c>
      <c r="D228" s="5">
        <v>484741</v>
      </c>
      <c r="E228">
        <v>322156.76</v>
      </c>
      <c r="F228" t="s">
        <v>14</v>
      </c>
      <c r="G228">
        <v>120</v>
      </c>
      <c r="H228" s="1">
        <f t="shared" si="3"/>
        <v>49248</v>
      </c>
      <c r="I228" t="s">
        <v>15</v>
      </c>
      <c r="J228" s="1">
        <v>45566</v>
      </c>
      <c r="K228" t="s">
        <v>22</v>
      </c>
      <c r="L228" s="3">
        <v>7.4700000000000003E-2</v>
      </c>
      <c r="M228" t="s">
        <v>17</v>
      </c>
      <c r="N228" t="s">
        <v>26</v>
      </c>
      <c r="O228">
        <v>670314.4</v>
      </c>
      <c r="P228" s="1">
        <v>46022</v>
      </c>
      <c r="R228" s="7"/>
      <c r="S228" s="7"/>
    </row>
    <row r="229" spans="1:19" x14ac:dyDescent="0.3">
      <c r="A229" t="s">
        <v>277</v>
      </c>
      <c r="B229" t="s">
        <v>24</v>
      </c>
      <c r="C229" t="s">
        <v>25</v>
      </c>
      <c r="D229" s="5">
        <v>246010</v>
      </c>
      <c r="E229">
        <v>190716.65</v>
      </c>
      <c r="F229" t="s">
        <v>14</v>
      </c>
      <c r="G229">
        <v>60</v>
      </c>
      <c r="H229" s="1">
        <f t="shared" si="3"/>
        <v>46752</v>
      </c>
      <c r="I229" t="s">
        <v>15</v>
      </c>
      <c r="J229" s="1">
        <v>44908</v>
      </c>
      <c r="K229" t="s">
        <v>56</v>
      </c>
      <c r="L229" s="3">
        <v>3.6299999999999999E-2</v>
      </c>
      <c r="M229" t="s">
        <v>17</v>
      </c>
      <c r="N229" t="s">
        <v>26</v>
      </c>
      <c r="O229">
        <v>333506.06</v>
      </c>
      <c r="P229" s="1">
        <v>46022</v>
      </c>
      <c r="R229" s="7"/>
      <c r="S229" s="7"/>
    </row>
    <row r="230" spans="1:19" x14ac:dyDescent="0.3">
      <c r="A230" t="s">
        <v>278</v>
      </c>
      <c r="B230" t="s">
        <v>12</v>
      </c>
      <c r="C230" t="s">
        <v>63</v>
      </c>
      <c r="D230" s="5">
        <v>1617768</v>
      </c>
      <c r="E230">
        <v>383158.29</v>
      </c>
      <c r="F230" t="s">
        <v>14</v>
      </c>
      <c r="G230">
        <v>306</v>
      </c>
      <c r="H230" s="1">
        <f t="shared" si="3"/>
        <v>53631</v>
      </c>
      <c r="I230" t="s">
        <v>15</v>
      </c>
      <c r="J230" s="1">
        <v>44294</v>
      </c>
      <c r="K230" t="s">
        <v>39</v>
      </c>
      <c r="L230" s="3">
        <v>6.1699999999999998E-2</v>
      </c>
      <c r="M230" t="s">
        <v>17</v>
      </c>
      <c r="N230" t="s">
        <v>54</v>
      </c>
      <c r="O230">
        <v>2055040.94</v>
      </c>
      <c r="P230" s="1">
        <v>46022</v>
      </c>
      <c r="R230" s="7"/>
      <c r="S230" s="7"/>
    </row>
    <row r="231" spans="1:19" x14ac:dyDescent="0.3">
      <c r="A231" t="s">
        <v>279</v>
      </c>
      <c r="B231" t="s">
        <v>20</v>
      </c>
      <c r="C231" t="s">
        <v>47</v>
      </c>
      <c r="D231" s="5">
        <v>2820791</v>
      </c>
      <c r="E231">
        <v>1445630.47</v>
      </c>
      <c r="F231" t="s">
        <v>33</v>
      </c>
      <c r="G231">
        <v>120</v>
      </c>
      <c r="H231" s="1">
        <f t="shared" si="3"/>
        <v>48426</v>
      </c>
      <c r="I231" t="s">
        <v>15</v>
      </c>
      <c r="J231" s="1">
        <v>44768</v>
      </c>
      <c r="K231" t="s">
        <v>39</v>
      </c>
      <c r="L231" s="3">
        <v>6.1399999999999996E-2</v>
      </c>
      <c r="M231" t="s">
        <v>29</v>
      </c>
      <c r="N231" t="s">
        <v>30</v>
      </c>
      <c r="O231">
        <v>0</v>
      </c>
      <c r="P231" s="1">
        <v>46022</v>
      </c>
      <c r="R231" s="7"/>
      <c r="S231" s="7"/>
    </row>
    <row r="232" spans="1:19" x14ac:dyDescent="0.3">
      <c r="A232" t="s">
        <v>280</v>
      </c>
      <c r="B232" t="s">
        <v>37</v>
      </c>
      <c r="C232" t="s">
        <v>78</v>
      </c>
      <c r="D232" s="5">
        <v>268425815</v>
      </c>
      <c r="E232">
        <v>111691296.7</v>
      </c>
      <c r="F232" t="s">
        <v>33</v>
      </c>
      <c r="G232">
        <v>108</v>
      </c>
      <c r="H232" s="1">
        <f t="shared" si="3"/>
        <v>45412</v>
      </c>
      <c r="I232" t="s">
        <v>15</v>
      </c>
      <c r="J232" s="1">
        <v>42100</v>
      </c>
      <c r="K232" t="s">
        <v>22</v>
      </c>
      <c r="L232" s="3">
        <v>4.24E-2</v>
      </c>
      <c r="M232" t="s">
        <v>17</v>
      </c>
      <c r="N232" t="s">
        <v>42</v>
      </c>
      <c r="O232">
        <v>358038725.19999999</v>
      </c>
      <c r="P232" s="1">
        <v>46022</v>
      </c>
      <c r="R232" s="7"/>
      <c r="S232" s="7"/>
    </row>
    <row r="233" spans="1:19" x14ac:dyDescent="0.3">
      <c r="A233" t="s">
        <v>281</v>
      </c>
      <c r="B233" t="s">
        <v>24</v>
      </c>
      <c r="C233" t="s">
        <v>41</v>
      </c>
      <c r="D233" s="5">
        <v>74742</v>
      </c>
      <c r="E233">
        <v>13782.31</v>
      </c>
      <c r="F233" t="s">
        <v>14</v>
      </c>
      <c r="G233">
        <v>264</v>
      </c>
      <c r="H233" s="1">
        <f t="shared" si="3"/>
        <v>49674</v>
      </c>
      <c r="I233" t="s">
        <v>15</v>
      </c>
      <c r="J233" s="1">
        <v>41612</v>
      </c>
      <c r="K233" t="s">
        <v>56</v>
      </c>
      <c r="L233" s="3">
        <v>3.6600000000000001E-2</v>
      </c>
      <c r="M233" t="s">
        <v>17</v>
      </c>
      <c r="N233" t="s">
        <v>42</v>
      </c>
      <c r="O233">
        <v>93343.8</v>
      </c>
      <c r="P233" s="1">
        <v>46022</v>
      </c>
      <c r="R233" s="7"/>
      <c r="S233" s="7"/>
    </row>
    <row r="234" spans="1:19" x14ac:dyDescent="0.3">
      <c r="A234" t="s">
        <v>282</v>
      </c>
      <c r="B234" t="s">
        <v>24</v>
      </c>
      <c r="C234" t="s">
        <v>28</v>
      </c>
      <c r="D234" s="5">
        <v>44623</v>
      </c>
      <c r="E234">
        <v>23985.45</v>
      </c>
      <c r="F234" t="s">
        <v>14</v>
      </c>
      <c r="G234">
        <v>60</v>
      </c>
      <c r="H234" s="1">
        <f t="shared" si="3"/>
        <v>45046</v>
      </c>
      <c r="I234" t="s">
        <v>15</v>
      </c>
      <c r="J234" s="1">
        <v>43196</v>
      </c>
      <c r="K234" t="s">
        <v>35</v>
      </c>
      <c r="L234" s="3">
        <v>4.2099999999999999E-2</v>
      </c>
      <c r="M234" t="s">
        <v>29</v>
      </c>
      <c r="N234" t="s">
        <v>30</v>
      </c>
      <c r="O234">
        <v>0</v>
      </c>
      <c r="P234" s="1">
        <v>46022</v>
      </c>
      <c r="R234" s="7"/>
      <c r="S234" s="7"/>
    </row>
    <row r="235" spans="1:19" x14ac:dyDescent="0.3">
      <c r="A235" t="s">
        <v>283</v>
      </c>
      <c r="B235" t="s">
        <v>12</v>
      </c>
      <c r="C235" t="s">
        <v>13</v>
      </c>
      <c r="D235" s="5">
        <v>4890923</v>
      </c>
      <c r="E235">
        <v>4542032.03</v>
      </c>
      <c r="F235" t="s">
        <v>33</v>
      </c>
      <c r="G235">
        <v>180</v>
      </c>
      <c r="H235" s="1">
        <f t="shared" si="3"/>
        <v>49460</v>
      </c>
      <c r="I235" t="s">
        <v>15</v>
      </c>
      <c r="J235" s="1">
        <v>43957</v>
      </c>
      <c r="K235" t="s">
        <v>39</v>
      </c>
      <c r="L235" s="3">
        <v>5.4600000000000003E-2</v>
      </c>
      <c r="M235" t="s">
        <v>29</v>
      </c>
      <c r="N235" t="s">
        <v>30</v>
      </c>
      <c r="O235">
        <v>0</v>
      </c>
      <c r="P235" s="1">
        <v>46022</v>
      </c>
      <c r="R235" s="7"/>
      <c r="S235" s="7"/>
    </row>
    <row r="236" spans="1:19" x14ac:dyDescent="0.3">
      <c r="A236" t="s">
        <v>284</v>
      </c>
      <c r="B236" t="s">
        <v>37</v>
      </c>
      <c r="C236" t="s">
        <v>74</v>
      </c>
      <c r="D236" s="5">
        <v>368433280</v>
      </c>
      <c r="E236">
        <v>50126529.399999999</v>
      </c>
      <c r="F236" t="s">
        <v>33</v>
      </c>
      <c r="G236">
        <v>150</v>
      </c>
      <c r="H236" s="1">
        <f t="shared" si="3"/>
        <v>46234</v>
      </c>
      <c r="I236" t="s">
        <v>15</v>
      </c>
      <c r="J236" s="1">
        <v>41670</v>
      </c>
      <c r="K236" t="s">
        <v>35</v>
      </c>
      <c r="L236" s="3">
        <v>4.07E-2</v>
      </c>
      <c r="M236" t="s">
        <v>29</v>
      </c>
      <c r="N236" t="s">
        <v>30</v>
      </c>
      <c r="O236">
        <v>0</v>
      </c>
      <c r="P236" s="1">
        <v>46022</v>
      </c>
      <c r="R236" s="7"/>
      <c r="S236" s="7"/>
    </row>
    <row r="237" spans="1:19" x14ac:dyDescent="0.3">
      <c r="A237" t="s">
        <v>285</v>
      </c>
      <c r="B237" t="s">
        <v>37</v>
      </c>
      <c r="C237" t="s">
        <v>92</v>
      </c>
      <c r="D237" s="5">
        <v>101831853</v>
      </c>
      <c r="E237">
        <v>36895189.57</v>
      </c>
      <c r="F237" t="s">
        <v>48</v>
      </c>
      <c r="G237">
        <v>120</v>
      </c>
      <c r="H237" s="1">
        <f t="shared" si="3"/>
        <v>46356</v>
      </c>
      <c r="I237" t="s">
        <v>15</v>
      </c>
      <c r="J237" s="1">
        <v>42676</v>
      </c>
      <c r="K237" t="s">
        <v>22</v>
      </c>
      <c r="L237" s="3">
        <v>4.2699999999999995E-2</v>
      </c>
      <c r="M237" t="s">
        <v>17</v>
      </c>
      <c r="N237" t="s">
        <v>18</v>
      </c>
      <c r="O237">
        <v>120977134</v>
      </c>
      <c r="P237" s="1">
        <v>46022</v>
      </c>
      <c r="R237" s="7"/>
      <c r="S237" s="7"/>
    </row>
    <row r="238" spans="1:19" x14ac:dyDescent="0.3">
      <c r="A238" t="s">
        <v>286</v>
      </c>
      <c r="B238" t="s">
        <v>20</v>
      </c>
      <c r="C238" t="s">
        <v>47</v>
      </c>
      <c r="D238" s="5">
        <v>4297976</v>
      </c>
      <c r="E238">
        <v>1232603.08</v>
      </c>
      <c r="F238" t="s">
        <v>33</v>
      </c>
      <c r="G238">
        <v>204</v>
      </c>
      <c r="H238" s="1">
        <f t="shared" si="3"/>
        <v>49643</v>
      </c>
      <c r="I238" t="s">
        <v>15</v>
      </c>
      <c r="J238" s="1">
        <v>43416</v>
      </c>
      <c r="K238" t="s">
        <v>22</v>
      </c>
      <c r="L238" s="3">
        <v>5.4000000000000006E-2</v>
      </c>
      <c r="M238" t="s">
        <v>29</v>
      </c>
      <c r="N238" t="s">
        <v>30</v>
      </c>
      <c r="O238">
        <v>0</v>
      </c>
      <c r="P238" s="1">
        <v>46022</v>
      </c>
      <c r="R238" s="7"/>
      <c r="S238" s="7"/>
    </row>
    <row r="239" spans="1:19" x14ac:dyDescent="0.3">
      <c r="A239" t="s">
        <v>287</v>
      </c>
      <c r="B239" t="s">
        <v>12</v>
      </c>
      <c r="C239" t="s">
        <v>61</v>
      </c>
      <c r="D239" s="5">
        <v>41134112</v>
      </c>
      <c r="E239">
        <v>12929767.27</v>
      </c>
      <c r="F239" t="s">
        <v>33</v>
      </c>
      <c r="G239">
        <v>360</v>
      </c>
      <c r="H239" s="1">
        <f t="shared" si="3"/>
        <v>53843</v>
      </c>
      <c r="I239" t="s">
        <v>15</v>
      </c>
      <c r="J239" s="1">
        <v>42886</v>
      </c>
      <c r="K239" t="s">
        <v>22</v>
      </c>
      <c r="L239" s="3">
        <v>5.0300000000000004E-2</v>
      </c>
      <c r="M239" t="s">
        <v>17</v>
      </c>
      <c r="N239" t="s">
        <v>26</v>
      </c>
      <c r="O239">
        <v>64647937.259999998</v>
      </c>
      <c r="P239" s="1">
        <v>46022</v>
      </c>
      <c r="R239" s="7"/>
      <c r="S239" s="7"/>
    </row>
    <row r="240" spans="1:19" x14ac:dyDescent="0.3">
      <c r="A240" t="s">
        <v>288</v>
      </c>
      <c r="B240" t="s">
        <v>12</v>
      </c>
      <c r="C240" t="s">
        <v>26</v>
      </c>
      <c r="D240" s="5">
        <v>27498894</v>
      </c>
      <c r="E240">
        <v>25232740.289999999</v>
      </c>
      <c r="F240" t="s">
        <v>14</v>
      </c>
      <c r="G240">
        <v>228</v>
      </c>
      <c r="H240" s="1">
        <f t="shared" si="3"/>
        <v>47634</v>
      </c>
      <c r="I240" t="s">
        <v>15</v>
      </c>
      <c r="J240" s="1">
        <v>40689</v>
      </c>
      <c r="K240" t="s">
        <v>16</v>
      </c>
      <c r="L240" s="3">
        <v>9.69E-2</v>
      </c>
      <c r="M240" t="s">
        <v>17</v>
      </c>
      <c r="N240" t="s">
        <v>18</v>
      </c>
      <c r="O240">
        <v>41211849.310000002</v>
      </c>
      <c r="P240" s="1">
        <v>46022</v>
      </c>
      <c r="R240" s="7"/>
      <c r="S240" s="7"/>
    </row>
    <row r="241" spans="1:19" x14ac:dyDescent="0.3">
      <c r="A241" t="s">
        <v>289</v>
      </c>
      <c r="B241" t="s">
        <v>20</v>
      </c>
      <c r="C241" t="s">
        <v>51</v>
      </c>
      <c r="D241" s="5">
        <v>3565702</v>
      </c>
      <c r="E241">
        <v>1858665.41</v>
      </c>
      <c r="F241" t="s">
        <v>48</v>
      </c>
      <c r="G241">
        <v>186</v>
      </c>
      <c r="H241" s="1">
        <f t="shared" si="3"/>
        <v>49918</v>
      </c>
      <c r="I241" t="s">
        <v>15</v>
      </c>
      <c r="J241" s="1">
        <v>44243</v>
      </c>
      <c r="K241" t="s">
        <v>39</v>
      </c>
      <c r="L241" s="3">
        <v>6.0700000000000004E-2</v>
      </c>
      <c r="M241" t="s">
        <v>29</v>
      </c>
      <c r="N241" t="s">
        <v>30</v>
      </c>
      <c r="O241">
        <v>0</v>
      </c>
      <c r="P241" s="1">
        <v>46022</v>
      </c>
      <c r="R241" s="7"/>
      <c r="S241" s="7"/>
    </row>
    <row r="242" spans="1:19" x14ac:dyDescent="0.3">
      <c r="A242" t="s">
        <v>290</v>
      </c>
      <c r="B242" t="s">
        <v>24</v>
      </c>
      <c r="C242" t="s">
        <v>28</v>
      </c>
      <c r="D242" s="5">
        <v>16403</v>
      </c>
      <c r="E242">
        <v>8524.2199999999993</v>
      </c>
      <c r="F242" t="s">
        <v>48</v>
      </c>
      <c r="G242">
        <v>60</v>
      </c>
      <c r="H242" s="1">
        <f t="shared" si="3"/>
        <v>45838</v>
      </c>
      <c r="I242" t="s">
        <v>15</v>
      </c>
      <c r="J242" s="1">
        <v>44005</v>
      </c>
      <c r="K242" t="s">
        <v>39</v>
      </c>
      <c r="L242" s="3">
        <v>7.0000000000000007E-2</v>
      </c>
      <c r="M242" t="s">
        <v>29</v>
      </c>
      <c r="N242" t="s">
        <v>30</v>
      </c>
      <c r="O242">
        <v>0</v>
      </c>
      <c r="P242" s="1">
        <v>46022</v>
      </c>
      <c r="R242" s="7"/>
      <c r="S242" s="7"/>
    </row>
    <row r="243" spans="1:19" x14ac:dyDescent="0.3">
      <c r="A243" t="s">
        <v>291</v>
      </c>
      <c r="B243" t="s">
        <v>37</v>
      </c>
      <c r="C243" t="s">
        <v>144</v>
      </c>
      <c r="D243" s="5">
        <v>240872271</v>
      </c>
      <c r="E243">
        <v>188968650.69999999</v>
      </c>
      <c r="F243" t="s">
        <v>48</v>
      </c>
      <c r="G243">
        <v>300</v>
      </c>
      <c r="H243" s="1">
        <f t="shared" si="3"/>
        <v>54604</v>
      </c>
      <c r="I243" t="s">
        <v>15</v>
      </c>
      <c r="J243" s="1">
        <v>45448</v>
      </c>
      <c r="K243" t="s">
        <v>56</v>
      </c>
      <c r="L243" s="3">
        <v>5.0599999999999999E-2</v>
      </c>
      <c r="M243" t="s">
        <v>17</v>
      </c>
      <c r="N243" t="s">
        <v>54</v>
      </c>
      <c r="O243">
        <v>371736217</v>
      </c>
      <c r="P243" s="1">
        <v>46022</v>
      </c>
      <c r="R243" s="7"/>
      <c r="S243" s="7"/>
    </row>
    <row r="244" spans="1:19" x14ac:dyDescent="0.3">
      <c r="A244" t="s">
        <v>292</v>
      </c>
      <c r="B244" t="s">
        <v>24</v>
      </c>
      <c r="C244" t="s">
        <v>41</v>
      </c>
      <c r="D244" s="5">
        <v>83947</v>
      </c>
      <c r="E244">
        <v>20067.02</v>
      </c>
      <c r="F244" t="s">
        <v>14</v>
      </c>
      <c r="G244">
        <v>120</v>
      </c>
      <c r="H244" s="1">
        <f t="shared" si="3"/>
        <v>48426</v>
      </c>
      <c r="I244" t="s">
        <v>15</v>
      </c>
      <c r="J244" s="1">
        <v>44773</v>
      </c>
      <c r="K244" t="s">
        <v>35</v>
      </c>
      <c r="L244" s="3">
        <v>2.9399999999999999E-2</v>
      </c>
      <c r="M244" t="s">
        <v>17</v>
      </c>
      <c r="N244" t="s">
        <v>42</v>
      </c>
      <c r="O244">
        <v>87435.74</v>
      </c>
      <c r="P244" s="1">
        <v>46022</v>
      </c>
      <c r="R244" s="7"/>
      <c r="S244" s="7"/>
    </row>
    <row r="245" spans="1:19" x14ac:dyDescent="0.3">
      <c r="A245" t="s">
        <v>293</v>
      </c>
      <c r="B245" t="s">
        <v>24</v>
      </c>
      <c r="C245" t="s">
        <v>32</v>
      </c>
      <c r="D245" s="5">
        <v>23504</v>
      </c>
      <c r="E245">
        <v>12657.81</v>
      </c>
      <c r="F245" t="s">
        <v>33</v>
      </c>
      <c r="G245">
        <v>216</v>
      </c>
      <c r="H245" s="1">
        <f t="shared" si="3"/>
        <v>51532</v>
      </c>
      <c r="I245" t="s">
        <v>15</v>
      </c>
      <c r="J245" s="1">
        <v>44949</v>
      </c>
      <c r="K245" t="s">
        <v>22</v>
      </c>
      <c r="L245" s="3">
        <v>7.7199999999999991E-2</v>
      </c>
      <c r="M245" t="s">
        <v>29</v>
      </c>
      <c r="N245" t="s">
        <v>30</v>
      </c>
      <c r="O245">
        <v>0</v>
      </c>
      <c r="P245" s="1">
        <v>46022</v>
      </c>
      <c r="R245" s="7"/>
      <c r="S245" s="7"/>
    </row>
    <row r="246" spans="1:19" x14ac:dyDescent="0.3">
      <c r="A246" t="s">
        <v>294</v>
      </c>
      <c r="B246" t="s">
        <v>24</v>
      </c>
      <c r="C246" t="s">
        <v>28</v>
      </c>
      <c r="D246" s="5">
        <v>18532</v>
      </c>
      <c r="E246">
        <v>9024.9</v>
      </c>
      <c r="F246" t="s">
        <v>33</v>
      </c>
      <c r="G246">
        <v>324</v>
      </c>
      <c r="H246" s="1">
        <f t="shared" si="3"/>
        <v>52717</v>
      </c>
      <c r="I246" t="s">
        <v>15</v>
      </c>
      <c r="J246" s="1">
        <v>42839</v>
      </c>
      <c r="K246" t="s">
        <v>35</v>
      </c>
      <c r="L246" s="3">
        <v>3.7400000000000003E-2</v>
      </c>
      <c r="M246" t="s">
        <v>29</v>
      </c>
      <c r="N246" t="s">
        <v>30</v>
      </c>
      <c r="O246">
        <v>0</v>
      </c>
      <c r="P246" s="1">
        <v>46022</v>
      </c>
      <c r="R246" s="7"/>
      <c r="S246" s="7"/>
    </row>
    <row r="247" spans="1:19" x14ac:dyDescent="0.3">
      <c r="A247" t="s">
        <v>295</v>
      </c>
      <c r="B247" t="s">
        <v>24</v>
      </c>
      <c r="C247" t="s">
        <v>28</v>
      </c>
      <c r="D247" s="5">
        <v>25216</v>
      </c>
      <c r="E247" s="4">
        <v>16068.39</v>
      </c>
      <c r="F247" t="s">
        <v>48</v>
      </c>
      <c r="G247">
        <v>126</v>
      </c>
      <c r="H247" s="1">
        <f t="shared" si="3"/>
        <v>45991</v>
      </c>
      <c r="I247" t="s">
        <v>15</v>
      </c>
      <c r="J247" s="1">
        <v>42152</v>
      </c>
      <c r="K247" t="s">
        <v>101</v>
      </c>
      <c r="L247" s="3">
        <v>0.14000000000000001</v>
      </c>
      <c r="M247" t="s">
        <v>29</v>
      </c>
      <c r="N247" t="s">
        <v>30</v>
      </c>
      <c r="O247">
        <v>0</v>
      </c>
      <c r="P247" s="1">
        <v>46022</v>
      </c>
      <c r="R247" s="7"/>
      <c r="S247" s="7"/>
    </row>
    <row r="248" spans="1:19" x14ac:dyDescent="0.3">
      <c r="A248" t="s">
        <v>296</v>
      </c>
      <c r="B248" t="s">
        <v>20</v>
      </c>
      <c r="C248" t="s">
        <v>47</v>
      </c>
      <c r="D248" s="5">
        <v>4149834</v>
      </c>
      <c r="E248">
        <v>4148181.89</v>
      </c>
      <c r="F248" t="s">
        <v>14</v>
      </c>
      <c r="G248">
        <v>294</v>
      </c>
      <c r="H248" s="1">
        <f t="shared" si="3"/>
        <v>49278</v>
      </c>
      <c r="I248" t="s">
        <v>15</v>
      </c>
      <c r="J248" s="1">
        <v>40318</v>
      </c>
      <c r="K248" t="s">
        <v>35</v>
      </c>
      <c r="L248" s="3">
        <v>4.3400000000000001E-2</v>
      </c>
      <c r="M248" t="s">
        <v>29</v>
      </c>
      <c r="N248" t="s">
        <v>30</v>
      </c>
      <c r="O248">
        <v>0</v>
      </c>
      <c r="P248" s="1">
        <v>46022</v>
      </c>
      <c r="R248" s="7"/>
      <c r="S248" s="7"/>
    </row>
    <row r="249" spans="1:19" x14ac:dyDescent="0.3">
      <c r="A249" t="s">
        <v>297</v>
      </c>
      <c r="B249" t="s">
        <v>12</v>
      </c>
      <c r="C249" t="s">
        <v>61</v>
      </c>
      <c r="D249" s="5">
        <v>17425194</v>
      </c>
      <c r="E249">
        <v>13809536.279999999</v>
      </c>
      <c r="F249" t="s">
        <v>48</v>
      </c>
      <c r="G249">
        <v>282</v>
      </c>
      <c r="H249" s="1">
        <f t="shared" si="3"/>
        <v>51744</v>
      </c>
      <c r="I249" t="s">
        <v>15</v>
      </c>
      <c r="J249" s="1">
        <v>43144</v>
      </c>
      <c r="K249" t="s">
        <v>22</v>
      </c>
      <c r="L249" s="3">
        <v>5.4100000000000002E-2</v>
      </c>
      <c r="M249" t="s">
        <v>17</v>
      </c>
      <c r="N249" t="s">
        <v>42</v>
      </c>
      <c r="O249">
        <v>30575617.760000002</v>
      </c>
      <c r="P249" s="1">
        <v>46022</v>
      </c>
      <c r="R249" s="7"/>
      <c r="S249" s="7"/>
    </row>
    <row r="250" spans="1:19" x14ac:dyDescent="0.3">
      <c r="A250" t="s">
        <v>298</v>
      </c>
      <c r="B250" t="s">
        <v>12</v>
      </c>
      <c r="C250" t="s">
        <v>61</v>
      </c>
      <c r="D250" s="5">
        <v>9514318</v>
      </c>
      <c r="E250">
        <v>4358310.57</v>
      </c>
      <c r="F250" t="s">
        <v>14</v>
      </c>
      <c r="G250">
        <v>60</v>
      </c>
      <c r="H250" s="1">
        <f t="shared" si="3"/>
        <v>46112</v>
      </c>
      <c r="I250" t="s">
        <v>15</v>
      </c>
      <c r="J250" s="1">
        <v>44266</v>
      </c>
      <c r="K250" t="s">
        <v>22</v>
      </c>
      <c r="L250" s="3">
        <v>3.5299999999999998E-2</v>
      </c>
      <c r="M250" t="s">
        <v>29</v>
      </c>
      <c r="N250" t="s">
        <v>30</v>
      </c>
      <c r="O250">
        <v>0</v>
      </c>
      <c r="P250" s="1">
        <v>46022</v>
      </c>
      <c r="R250" s="7"/>
      <c r="S250" s="7"/>
    </row>
    <row r="251" spans="1:19" x14ac:dyDescent="0.3">
      <c r="A251" t="s">
        <v>299</v>
      </c>
      <c r="B251" t="s">
        <v>24</v>
      </c>
      <c r="C251" t="s">
        <v>41</v>
      </c>
      <c r="D251" s="5">
        <v>74081</v>
      </c>
      <c r="E251">
        <v>62583.68</v>
      </c>
      <c r="F251" t="s">
        <v>14</v>
      </c>
      <c r="G251">
        <v>288</v>
      </c>
      <c r="H251" s="1">
        <f t="shared" si="3"/>
        <v>49552</v>
      </c>
      <c r="I251" t="s">
        <v>15</v>
      </c>
      <c r="J251" s="1">
        <v>40773</v>
      </c>
      <c r="K251" t="s">
        <v>39</v>
      </c>
      <c r="L251" s="3">
        <v>7.5800000000000006E-2</v>
      </c>
      <c r="M251" t="s">
        <v>17</v>
      </c>
      <c r="N251" t="s">
        <v>42</v>
      </c>
      <c r="O251">
        <v>83914.95</v>
      </c>
      <c r="P251" s="1">
        <v>46022</v>
      </c>
      <c r="R251" s="7"/>
      <c r="S251" s="7"/>
    </row>
    <row r="252" spans="1:19" x14ac:dyDescent="0.3">
      <c r="A252" t="s">
        <v>300</v>
      </c>
      <c r="B252" t="s">
        <v>37</v>
      </c>
      <c r="C252" t="s">
        <v>78</v>
      </c>
      <c r="D252" s="5">
        <v>414729324</v>
      </c>
      <c r="E252">
        <v>105190920.2</v>
      </c>
      <c r="F252" t="s">
        <v>48</v>
      </c>
      <c r="G252">
        <v>294</v>
      </c>
      <c r="H252" s="1">
        <f t="shared" si="3"/>
        <v>51256</v>
      </c>
      <c r="I252" t="s">
        <v>15</v>
      </c>
      <c r="J252" s="1">
        <v>42305</v>
      </c>
      <c r="K252" t="s">
        <v>35</v>
      </c>
      <c r="L252" s="3">
        <v>3.8599999999999995E-2</v>
      </c>
      <c r="M252" t="s">
        <v>29</v>
      </c>
      <c r="N252" t="s">
        <v>30</v>
      </c>
      <c r="O252">
        <v>0</v>
      </c>
      <c r="P252" s="1">
        <v>46022</v>
      </c>
      <c r="R252" s="7"/>
      <c r="S252" s="7"/>
    </row>
    <row r="253" spans="1:19" x14ac:dyDescent="0.3">
      <c r="A253" t="s">
        <v>301</v>
      </c>
      <c r="B253" t="s">
        <v>24</v>
      </c>
      <c r="C253" t="s">
        <v>25</v>
      </c>
      <c r="D253" s="5">
        <v>190574</v>
      </c>
      <c r="E253">
        <v>24282.39</v>
      </c>
      <c r="F253" t="s">
        <v>14</v>
      </c>
      <c r="G253">
        <v>60</v>
      </c>
      <c r="H253" s="1">
        <f t="shared" si="3"/>
        <v>47177</v>
      </c>
      <c r="I253" t="s">
        <v>15</v>
      </c>
      <c r="J253" s="1">
        <v>45344</v>
      </c>
      <c r="K253" t="s">
        <v>22</v>
      </c>
      <c r="L253" s="3">
        <v>6.7599999999999993E-2</v>
      </c>
      <c r="M253" t="s">
        <v>17</v>
      </c>
      <c r="N253" t="s">
        <v>26</v>
      </c>
      <c r="O253">
        <v>246314.01</v>
      </c>
      <c r="P253" s="1">
        <v>46022</v>
      </c>
      <c r="R253" s="7"/>
      <c r="S253" s="7"/>
    </row>
    <row r="254" spans="1:19" x14ac:dyDescent="0.3">
      <c r="A254" t="s">
        <v>302</v>
      </c>
      <c r="B254" t="s">
        <v>20</v>
      </c>
      <c r="C254" t="s">
        <v>51</v>
      </c>
      <c r="D254" s="5">
        <v>1237377</v>
      </c>
      <c r="E254">
        <v>351419.4</v>
      </c>
      <c r="F254" t="s">
        <v>48</v>
      </c>
      <c r="G254">
        <v>60</v>
      </c>
      <c r="H254" s="1">
        <f t="shared" si="3"/>
        <v>47208</v>
      </c>
      <c r="I254" t="s">
        <v>15</v>
      </c>
      <c r="J254" s="1">
        <v>45381</v>
      </c>
      <c r="K254" t="s">
        <v>22</v>
      </c>
      <c r="L254" s="3">
        <v>5.6799999999999996E-2</v>
      </c>
      <c r="M254" t="s">
        <v>17</v>
      </c>
      <c r="N254" t="s">
        <v>42</v>
      </c>
      <c r="O254">
        <v>1731309.11</v>
      </c>
      <c r="P254" s="1">
        <v>46022</v>
      </c>
      <c r="R254" s="7"/>
      <c r="S254" s="7"/>
    </row>
    <row r="255" spans="1:19" x14ac:dyDescent="0.3">
      <c r="A255" t="s">
        <v>303</v>
      </c>
      <c r="B255" t="s">
        <v>24</v>
      </c>
      <c r="C255" t="s">
        <v>25</v>
      </c>
      <c r="D255" s="5">
        <v>227775</v>
      </c>
      <c r="E255">
        <v>92560.93</v>
      </c>
      <c r="F255" t="s">
        <v>14</v>
      </c>
      <c r="G255">
        <v>150</v>
      </c>
      <c r="H255" s="1">
        <f t="shared" si="3"/>
        <v>46356</v>
      </c>
      <c r="I255" t="s">
        <v>15</v>
      </c>
      <c r="J255" s="1">
        <v>41780</v>
      </c>
      <c r="K255" t="s">
        <v>16</v>
      </c>
      <c r="L255" s="3">
        <v>9.9900000000000003E-2</v>
      </c>
      <c r="M255" t="s">
        <v>17</v>
      </c>
      <c r="N255" t="s">
        <v>26</v>
      </c>
      <c r="O255">
        <v>302461.46999999997</v>
      </c>
      <c r="P255" s="1">
        <v>46022</v>
      </c>
      <c r="R255" s="7"/>
      <c r="S255" s="7"/>
    </row>
    <row r="256" spans="1:19" x14ac:dyDescent="0.3">
      <c r="A256" t="s">
        <v>304</v>
      </c>
      <c r="B256" t="s">
        <v>37</v>
      </c>
      <c r="C256" t="s">
        <v>38</v>
      </c>
      <c r="D256" s="5">
        <v>180491292</v>
      </c>
      <c r="E256">
        <v>100988971.59999999</v>
      </c>
      <c r="F256" t="s">
        <v>14</v>
      </c>
      <c r="G256">
        <v>276</v>
      </c>
      <c r="H256" s="1">
        <f t="shared" si="3"/>
        <v>51013</v>
      </c>
      <c r="I256" t="s">
        <v>15</v>
      </c>
      <c r="J256" s="1">
        <v>42590</v>
      </c>
      <c r="K256" t="s">
        <v>56</v>
      </c>
      <c r="L256" s="3">
        <v>2.9900000000000003E-2</v>
      </c>
      <c r="M256" t="s">
        <v>29</v>
      </c>
      <c r="N256" t="s">
        <v>30</v>
      </c>
      <c r="O256">
        <v>0</v>
      </c>
      <c r="P256" s="1">
        <v>46022</v>
      </c>
      <c r="R256" s="7"/>
      <c r="S256" s="7"/>
    </row>
    <row r="257" spans="1:19" x14ac:dyDescent="0.3">
      <c r="A257" t="s">
        <v>305</v>
      </c>
      <c r="B257" t="s">
        <v>37</v>
      </c>
      <c r="C257" t="s">
        <v>74</v>
      </c>
      <c r="D257" s="5">
        <v>230671980</v>
      </c>
      <c r="E257">
        <v>150770948.90000001</v>
      </c>
      <c r="F257" t="s">
        <v>48</v>
      </c>
      <c r="G257">
        <v>156</v>
      </c>
      <c r="H257" s="1">
        <f t="shared" si="3"/>
        <v>50071</v>
      </c>
      <c r="I257" t="s">
        <v>15</v>
      </c>
      <c r="J257" s="1">
        <v>45302</v>
      </c>
      <c r="K257" t="s">
        <v>16</v>
      </c>
      <c r="L257" s="3">
        <v>0.11840000000000001</v>
      </c>
      <c r="M257" t="s">
        <v>29</v>
      </c>
      <c r="N257" t="s">
        <v>30</v>
      </c>
      <c r="O257">
        <v>0</v>
      </c>
      <c r="P257" s="1">
        <v>46022</v>
      </c>
      <c r="R257" s="7"/>
      <c r="S257" s="7"/>
    </row>
    <row r="258" spans="1:19" x14ac:dyDescent="0.3">
      <c r="A258" t="s">
        <v>306</v>
      </c>
      <c r="B258" t="s">
        <v>24</v>
      </c>
      <c r="C258" t="s">
        <v>28</v>
      </c>
      <c r="D258" s="5">
        <v>37692</v>
      </c>
      <c r="E258">
        <v>34659.949999999997</v>
      </c>
      <c r="F258" t="s">
        <v>48</v>
      </c>
      <c r="G258">
        <v>126</v>
      </c>
      <c r="H258" s="1">
        <f t="shared" ref="H258:H321" si="4">EOMONTH(J258,G258)</f>
        <v>48548</v>
      </c>
      <c r="I258" t="s">
        <v>15</v>
      </c>
      <c r="J258" s="1">
        <v>44693</v>
      </c>
      <c r="K258" t="s">
        <v>39</v>
      </c>
      <c r="L258" s="3">
        <v>7.3099999999999998E-2</v>
      </c>
      <c r="M258" t="s">
        <v>29</v>
      </c>
      <c r="N258" t="s">
        <v>30</v>
      </c>
      <c r="O258">
        <v>0</v>
      </c>
      <c r="P258" s="1">
        <v>46022</v>
      </c>
      <c r="R258" s="7"/>
      <c r="S258" s="7"/>
    </row>
    <row r="259" spans="1:19" x14ac:dyDescent="0.3">
      <c r="A259" t="s">
        <v>307</v>
      </c>
      <c r="B259" t="s">
        <v>24</v>
      </c>
      <c r="C259" t="s">
        <v>32</v>
      </c>
      <c r="D259" s="5">
        <v>32906</v>
      </c>
      <c r="E259">
        <v>18390.259999999998</v>
      </c>
      <c r="F259" t="s">
        <v>33</v>
      </c>
      <c r="G259">
        <v>270</v>
      </c>
      <c r="H259" s="1">
        <f t="shared" si="4"/>
        <v>52748</v>
      </c>
      <c r="I259" t="s">
        <v>15</v>
      </c>
      <c r="J259" s="1">
        <v>44505</v>
      </c>
      <c r="K259" t="s">
        <v>22</v>
      </c>
      <c r="L259" s="3">
        <v>4.1700000000000001E-2</v>
      </c>
      <c r="M259" t="s">
        <v>29</v>
      </c>
      <c r="N259" t="s">
        <v>30</v>
      </c>
      <c r="O259">
        <v>0</v>
      </c>
      <c r="P259" s="1">
        <v>46022</v>
      </c>
      <c r="R259" s="7"/>
      <c r="S259" s="7"/>
    </row>
    <row r="260" spans="1:19" x14ac:dyDescent="0.3">
      <c r="A260" t="s">
        <v>308</v>
      </c>
      <c r="B260" t="s">
        <v>37</v>
      </c>
      <c r="C260" t="s">
        <v>38</v>
      </c>
      <c r="D260" s="5">
        <v>314254998</v>
      </c>
      <c r="E260">
        <v>173201038.90000001</v>
      </c>
      <c r="F260" t="s">
        <v>48</v>
      </c>
      <c r="G260">
        <v>156</v>
      </c>
      <c r="H260" s="1">
        <f t="shared" si="4"/>
        <v>45777</v>
      </c>
      <c r="I260" t="s">
        <v>15</v>
      </c>
      <c r="J260" s="1">
        <v>41022</v>
      </c>
      <c r="K260" t="s">
        <v>39</v>
      </c>
      <c r="L260" s="3">
        <v>5.8400000000000001E-2</v>
      </c>
      <c r="M260" t="s">
        <v>29</v>
      </c>
      <c r="N260" t="s">
        <v>30</v>
      </c>
      <c r="O260">
        <v>0</v>
      </c>
      <c r="P260" s="1">
        <v>46022</v>
      </c>
      <c r="R260" s="7"/>
      <c r="S260" s="7"/>
    </row>
    <row r="261" spans="1:19" x14ac:dyDescent="0.3">
      <c r="A261" t="s">
        <v>309</v>
      </c>
      <c r="B261" t="s">
        <v>12</v>
      </c>
      <c r="C261" t="s">
        <v>26</v>
      </c>
      <c r="D261" s="5">
        <v>18266372</v>
      </c>
      <c r="E261">
        <v>2652619.0099999998</v>
      </c>
      <c r="F261" t="s">
        <v>33</v>
      </c>
      <c r="G261">
        <v>228</v>
      </c>
      <c r="H261" s="1">
        <f t="shared" si="4"/>
        <v>52017</v>
      </c>
      <c r="I261" t="s">
        <v>15</v>
      </c>
      <c r="J261" s="1">
        <v>45064</v>
      </c>
      <c r="K261" t="s">
        <v>56</v>
      </c>
      <c r="L261" s="3">
        <v>5.62E-2</v>
      </c>
      <c r="M261" t="s">
        <v>17</v>
      </c>
      <c r="N261" t="s">
        <v>42</v>
      </c>
      <c r="O261">
        <v>28277560.350000001</v>
      </c>
      <c r="P261" s="1">
        <v>46022</v>
      </c>
      <c r="R261" s="7"/>
      <c r="S261" s="7"/>
    </row>
    <row r="262" spans="1:19" x14ac:dyDescent="0.3">
      <c r="A262" t="s">
        <v>310</v>
      </c>
      <c r="B262" t="s">
        <v>12</v>
      </c>
      <c r="C262" t="s">
        <v>61</v>
      </c>
      <c r="D262" s="5">
        <v>42230930</v>
      </c>
      <c r="E262" s="4">
        <v>5550005.6200000001</v>
      </c>
      <c r="F262" t="s">
        <v>14</v>
      </c>
      <c r="G262">
        <v>264</v>
      </c>
      <c r="H262" s="1">
        <f t="shared" si="4"/>
        <v>48791</v>
      </c>
      <c r="I262" t="s">
        <v>15</v>
      </c>
      <c r="J262" s="1">
        <v>40731</v>
      </c>
      <c r="K262" t="s">
        <v>22</v>
      </c>
      <c r="L262" s="3">
        <v>0.14800000000000002</v>
      </c>
      <c r="M262" t="s">
        <v>17</v>
      </c>
      <c r="N262" t="s">
        <v>42</v>
      </c>
      <c r="O262">
        <v>65897710.850000001</v>
      </c>
      <c r="P262" s="1">
        <v>46022</v>
      </c>
      <c r="R262" s="7"/>
      <c r="S262" s="7"/>
    </row>
    <row r="263" spans="1:19" x14ac:dyDescent="0.3">
      <c r="A263" t="s">
        <v>311</v>
      </c>
      <c r="B263" t="s">
        <v>24</v>
      </c>
      <c r="C263" t="s">
        <v>28</v>
      </c>
      <c r="D263" s="5">
        <v>24093</v>
      </c>
      <c r="E263">
        <v>14360.53</v>
      </c>
      <c r="F263" t="s">
        <v>48</v>
      </c>
      <c r="G263">
        <v>156</v>
      </c>
      <c r="H263" s="1">
        <f t="shared" si="4"/>
        <v>49217</v>
      </c>
      <c r="I263" t="s">
        <v>15</v>
      </c>
      <c r="J263" s="1">
        <v>44460</v>
      </c>
      <c r="K263" t="s">
        <v>22</v>
      </c>
      <c r="L263" s="3">
        <v>3.7999999999999999E-2</v>
      </c>
      <c r="M263" t="s">
        <v>29</v>
      </c>
      <c r="N263" t="s">
        <v>30</v>
      </c>
      <c r="O263">
        <v>0</v>
      </c>
      <c r="P263" s="1">
        <v>46022</v>
      </c>
      <c r="R263" s="7"/>
      <c r="S263" s="7"/>
    </row>
    <row r="264" spans="1:19" x14ac:dyDescent="0.3">
      <c r="A264" t="s">
        <v>312</v>
      </c>
      <c r="B264" t="s">
        <v>24</v>
      </c>
      <c r="C264" t="s">
        <v>25</v>
      </c>
      <c r="D264" s="5">
        <v>981194</v>
      </c>
      <c r="E264">
        <v>485064.02</v>
      </c>
      <c r="F264" t="s">
        <v>14</v>
      </c>
      <c r="G264">
        <v>60</v>
      </c>
      <c r="H264" s="1">
        <f t="shared" si="4"/>
        <v>45382</v>
      </c>
      <c r="I264" t="s">
        <v>15</v>
      </c>
      <c r="J264" s="1">
        <v>43527</v>
      </c>
      <c r="K264" t="s">
        <v>22</v>
      </c>
      <c r="L264" s="3">
        <v>5.3499999999999999E-2</v>
      </c>
      <c r="M264" t="s">
        <v>17</v>
      </c>
      <c r="N264" t="s">
        <v>26</v>
      </c>
      <c r="O264">
        <v>1209968.6299999999</v>
      </c>
      <c r="P264" s="1">
        <v>46022</v>
      </c>
      <c r="R264" s="7"/>
      <c r="S264" s="7"/>
    </row>
    <row r="265" spans="1:19" x14ac:dyDescent="0.3">
      <c r="A265" t="s">
        <v>313</v>
      </c>
      <c r="B265" t="s">
        <v>37</v>
      </c>
      <c r="C265" t="s">
        <v>144</v>
      </c>
      <c r="D265" s="5">
        <v>320729648</v>
      </c>
      <c r="E265">
        <v>274307994</v>
      </c>
      <c r="F265" t="s">
        <v>14</v>
      </c>
      <c r="G265">
        <v>60</v>
      </c>
      <c r="H265" s="1">
        <f t="shared" si="4"/>
        <v>45777</v>
      </c>
      <c r="I265" t="s">
        <v>15</v>
      </c>
      <c r="J265" s="1">
        <v>43931</v>
      </c>
      <c r="K265" t="s">
        <v>22</v>
      </c>
      <c r="L265" s="3">
        <v>3.15E-2</v>
      </c>
      <c r="M265" t="s">
        <v>17</v>
      </c>
      <c r="N265" t="s">
        <v>26</v>
      </c>
      <c r="O265">
        <v>429541803.39999998</v>
      </c>
      <c r="P265" s="1">
        <v>46022</v>
      </c>
      <c r="R265" s="7"/>
      <c r="S265" s="7"/>
    </row>
    <row r="266" spans="1:19" x14ac:dyDescent="0.3">
      <c r="A266" t="s">
        <v>314</v>
      </c>
      <c r="B266" t="s">
        <v>20</v>
      </c>
      <c r="C266" t="s">
        <v>21</v>
      </c>
      <c r="D266" s="5">
        <v>675010</v>
      </c>
      <c r="E266">
        <v>165115.41</v>
      </c>
      <c r="F266" t="s">
        <v>14</v>
      </c>
      <c r="G266">
        <v>96</v>
      </c>
      <c r="H266" s="1">
        <f t="shared" si="4"/>
        <v>47542</v>
      </c>
      <c r="I266" t="s">
        <v>15</v>
      </c>
      <c r="J266" s="1">
        <v>44595</v>
      </c>
      <c r="K266" t="s">
        <v>56</v>
      </c>
      <c r="L266" s="3">
        <v>3.2500000000000001E-2</v>
      </c>
      <c r="M266" t="s">
        <v>17</v>
      </c>
      <c r="N266" t="s">
        <v>42</v>
      </c>
      <c r="O266">
        <v>837777.58</v>
      </c>
      <c r="P266" s="1">
        <v>46022</v>
      </c>
      <c r="R266" s="7"/>
      <c r="S266" s="7"/>
    </row>
    <row r="267" spans="1:19" x14ac:dyDescent="0.3">
      <c r="A267" t="s">
        <v>315</v>
      </c>
      <c r="B267" t="s">
        <v>12</v>
      </c>
      <c r="C267" t="s">
        <v>63</v>
      </c>
      <c r="D267" s="5">
        <v>34132701</v>
      </c>
      <c r="E267" s="4">
        <v>4180385.29</v>
      </c>
      <c r="F267" t="s">
        <v>14</v>
      </c>
      <c r="G267">
        <v>354</v>
      </c>
      <c r="H267" s="1">
        <f t="shared" si="4"/>
        <v>53843</v>
      </c>
      <c r="I267" t="s">
        <v>15</v>
      </c>
      <c r="J267" s="1">
        <v>43049</v>
      </c>
      <c r="K267" t="s">
        <v>101</v>
      </c>
      <c r="L267" s="3">
        <v>0.14510000000000001</v>
      </c>
      <c r="M267" t="s">
        <v>29</v>
      </c>
      <c r="N267" t="s">
        <v>30</v>
      </c>
      <c r="O267">
        <v>0</v>
      </c>
      <c r="P267" s="1">
        <v>46022</v>
      </c>
      <c r="R267" s="7"/>
      <c r="S267" s="7"/>
    </row>
    <row r="268" spans="1:19" x14ac:dyDescent="0.3">
      <c r="A268" t="s">
        <v>316</v>
      </c>
      <c r="B268" t="s">
        <v>24</v>
      </c>
      <c r="C268" t="s">
        <v>28</v>
      </c>
      <c r="D268" s="5">
        <v>16930</v>
      </c>
      <c r="E268">
        <v>8535.0499999999993</v>
      </c>
      <c r="F268" t="s">
        <v>48</v>
      </c>
      <c r="G268">
        <v>96</v>
      </c>
      <c r="H268" s="1">
        <f t="shared" si="4"/>
        <v>46477</v>
      </c>
      <c r="I268" t="s">
        <v>15</v>
      </c>
      <c r="J268" s="1">
        <v>43553</v>
      </c>
      <c r="K268" t="s">
        <v>56</v>
      </c>
      <c r="L268" s="3">
        <v>3.1899999999999998E-2</v>
      </c>
      <c r="M268" t="s">
        <v>29</v>
      </c>
      <c r="N268" t="s">
        <v>30</v>
      </c>
      <c r="O268">
        <v>0</v>
      </c>
      <c r="P268" s="1">
        <v>46022</v>
      </c>
      <c r="R268" s="7"/>
      <c r="S268" s="7"/>
    </row>
    <row r="269" spans="1:19" x14ac:dyDescent="0.3">
      <c r="A269" t="s">
        <v>317</v>
      </c>
      <c r="B269" t="s">
        <v>24</v>
      </c>
      <c r="C269" t="s">
        <v>41</v>
      </c>
      <c r="D269" s="5">
        <v>71769</v>
      </c>
      <c r="E269">
        <v>22516.28</v>
      </c>
      <c r="F269" t="s">
        <v>14</v>
      </c>
      <c r="G269">
        <v>60</v>
      </c>
      <c r="H269" s="1">
        <f t="shared" si="4"/>
        <v>46812</v>
      </c>
      <c r="I269" t="s">
        <v>15</v>
      </c>
      <c r="J269" s="1">
        <v>44975</v>
      </c>
      <c r="K269" t="s">
        <v>39</v>
      </c>
      <c r="L269" s="3">
        <v>6.6600000000000006E-2</v>
      </c>
      <c r="M269" t="s">
        <v>17</v>
      </c>
      <c r="N269" t="s">
        <v>42</v>
      </c>
      <c r="O269">
        <v>89532.04</v>
      </c>
      <c r="P269" s="1">
        <v>46022</v>
      </c>
      <c r="R269" s="7"/>
      <c r="S269" s="7"/>
    </row>
    <row r="270" spans="1:19" x14ac:dyDescent="0.3">
      <c r="A270" t="s">
        <v>318</v>
      </c>
      <c r="B270" t="s">
        <v>37</v>
      </c>
      <c r="C270" t="s">
        <v>78</v>
      </c>
      <c r="D270" s="5">
        <v>44124163</v>
      </c>
      <c r="E270">
        <v>6382689.6699999999</v>
      </c>
      <c r="F270" t="s">
        <v>48</v>
      </c>
      <c r="G270">
        <v>96</v>
      </c>
      <c r="H270" s="1">
        <f t="shared" si="4"/>
        <v>47756</v>
      </c>
      <c r="I270" t="s">
        <v>15</v>
      </c>
      <c r="J270" s="1">
        <v>44813</v>
      </c>
      <c r="K270" t="s">
        <v>22</v>
      </c>
      <c r="L270" s="3">
        <v>5.4800000000000001E-2</v>
      </c>
      <c r="M270" t="s">
        <v>17</v>
      </c>
      <c r="N270" t="s">
        <v>18</v>
      </c>
      <c r="O270">
        <v>62817779.969999999</v>
      </c>
      <c r="P270" s="1">
        <v>46022</v>
      </c>
      <c r="R270" s="7"/>
      <c r="S270" s="7"/>
    </row>
    <row r="271" spans="1:19" x14ac:dyDescent="0.3">
      <c r="A271" t="s">
        <v>319</v>
      </c>
      <c r="B271" t="s">
        <v>24</v>
      </c>
      <c r="C271" t="s">
        <v>41</v>
      </c>
      <c r="D271" s="5">
        <v>25739</v>
      </c>
      <c r="E271">
        <v>19359.54</v>
      </c>
      <c r="F271" t="s">
        <v>14</v>
      </c>
      <c r="G271">
        <v>222</v>
      </c>
      <c r="H271" s="1">
        <f t="shared" si="4"/>
        <v>51621</v>
      </c>
      <c r="I271" t="s">
        <v>15</v>
      </c>
      <c r="J271" s="1">
        <v>44861</v>
      </c>
      <c r="K271" t="s">
        <v>16</v>
      </c>
      <c r="L271" s="3">
        <v>9.74E-2</v>
      </c>
      <c r="M271" t="s">
        <v>17</v>
      </c>
      <c r="N271" t="s">
        <v>42</v>
      </c>
      <c r="O271">
        <v>27445.16</v>
      </c>
      <c r="P271" s="1">
        <v>46022</v>
      </c>
      <c r="R271" s="7"/>
      <c r="S271" s="7"/>
    </row>
    <row r="272" spans="1:19" x14ac:dyDescent="0.3">
      <c r="A272" t="s">
        <v>320</v>
      </c>
      <c r="B272" t="s">
        <v>24</v>
      </c>
      <c r="C272" t="s">
        <v>41</v>
      </c>
      <c r="D272" s="5">
        <v>87016</v>
      </c>
      <c r="E272">
        <v>17441.009999999998</v>
      </c>
      <c r="F272" t="s">
        <v>14</v>
      </c>
      <c r="G272">
        <v>180</v>
      </c>
      <c r="H272" s="1">
        <f t="shared" si="4"/>
        <v>47664</v>
      </c>
      <c r="I272" t="s">
        <v>15</v>
      </c>
      <c r="J272" s="1">
        <v>42167</v>
      </c>
      <c r="K272" t="s">
        <v>35</v>
      </c>
      <c r="L272" s="3">
        <v>3.1800000000000002E-2</v>
      </c>
      <c r="M272" t="s">
        <v>17</v>
      </c>
      <c r="N272" t="s">
        <v>42</v>
      </c>
      <c r="O272">
        <v>105939.64</v>
      </c>
      <c r="P272" s="1">
        <v>46022</v>
      </c>
      <c r="R272" s="7"/>
      <c r="S272" s="7"/>
    </row>
    <row r="273" spans="1:19" x14ac:dyDescent="0.3">
      <c r="A273" t="s">
        <v>321</v>
      </c>
      <c r="B273" t="s">
        <v>24</v>
      </c>
      <c r="C273" t="s">
        <v>32</v>
      </c>
      <c r="D273" s="5">
        <v>12132</v>
      </c>
      <c r="E273">
        <v>7855.19</v>
      </c>
      <c r="F273" t="s">
        <v>33</v>
      </c>
      <c r="G273">
        <v>312</v>
      </c>
      <c r="H273" s="1">
        <f t="shared" si="4"/>
        <v>54969</v>
      </c>
      <c r="I273" t="s">
        <v>15</v>
      </c>
      <c r="J273" s="1">
        <v>45468</v>
      </c>
      <c r="K273" t="s">
        <v>22</v>
      </c>
      <c r="L273" s="3">
        <v>7.4900000000000008E-2</v>
      </c>
      <c r="M273" t="s">
        <v>29</v>
      </c>
      <c r="N273" t="s">
        <v>30</v>
      </c>
      <c r="O273">
        <v>0</v>
      </c>
      <c r="P273" s="1">
        <v>46022</v>
      </c>
      <c r="R273" s="7"/>
      <c r="S273" s="7"/>
    </row>
    <row r="274" spans="1:19" x14ac:dyDescent="0.3">
      <c r="A274" t="s">
        <v>322</v>
      </c>
      <c r="B274" t="s">
        <v>24</v>
      </c>
      <c r="C274" t="s">
        <v>25</v>
      </c>
      <c r="D274" s="5">
        <v>853337</v>
      </c>
      <c r="E274">
        <v>301180.84000000003</v>
      </c>
      <c r="F274" t="s">
        <v>14</v>
      </c>
      <c r="G274">
        <v>282</v>
      </c>
      <c r="H274" s="1">
        <f t="shared" si="4"/>
        <v>52748</v>
      </c>
      <c r="I274" t="s">
        <v>15</v>
      </c>
      <c r="J274" s="1">
        <v>44140</v>
      </c>
      <c r="K274" t="s">
        <v>22</v>
      </c>
      <c r="L274" s="3">
        <v>2.9300000000000003E-2</v>
      </c>
      <c r="M274" t="s">
        <v>17</v>
      </c>
      <c r="N274" t="s">
        <v>26</v>
      </c>
      <c r="O274">
        <v>1036651.67</v>
      </c>
      <c r="P274" s="1">
        <v>46022</v>
      </c>
      <c r="R274" s="7"/>
      <c r="S274" s="7"/>
    </row>
    <row r="275" spans="1:19" x14ac:dyDescent="0.3">
      <c r="A275" t="s">
        <v>323</v>
      </c>
      <c r="B275" t="s">
        <v>20</v>
      </c>
      <c r="C275" t="s">
        <v>21</v>
      </c>
      <c r="D275" s="5">
        <v>1432417</v>
      </c>
      <c r="E275">
        <v>366908.43</v>
      </c>
      <c r="F275" t="s">
        <v>14</v>
      </c>
      <c r="G275">
        <v>186</v>
      </c>
      <c r="H275" s="1">
        <f t="shared" si="4"/>
        <v>47483</v>
      </c>
      <c r="I275" t="s">
        <v>15</v>
      </c>
      <c r="J275" s="1">
        <v>41817</v>
      </c>
      <c r="K275" t="s">
        <v>39</v>
      </c>
      <c r="L275" s="3">
        <v>6.5700000000000008E-2</v>
      </c>
      <c r="M275" t="s">
        <v>17</v>
      </c>
      <c r="N275" t="s">
        <v>54</v>
      </c>
      <c r="O275">
        <v>1995234.03</v>
      </c>
      <c r="P275" s="1">
        <v>46022</v>
      </c>
      <c r="R275" s="7"/>
      <c r="S275" s="7"/>
    </row>
    <row r="276" spans="1:19" x14ac:dyDescent="0.3">
      <c r="A276" t="s">
        <v>324</v>
      </c>
      <c r="B276" t="s">
        <v>24</v>
      </c>
      <c r="C276" t="s">
        <v>28</v>
      </c>
      <c r="D276" s="5">
        <v>32501</v>
      </c>
      <c r="E276">
        <v>14358.27</v>
      </c>
      <c r="F276" t="s">
        <v>33</v>
      </c>
      <c r="G276">
        <v>78</v>
      </c>
      <c r="H276" s="1">
        <f t="shared" si="4"/>
        <v>47483</v>
      </c>
      <c r="I276" t="s">
        <v>15</v>
      </c>
      <c r="J276" s="1">
        <v>45099</v>
      </c>
      <c r="K276" t="s">
        <v>56</v>
      </c>
      <c r="L276" s="3">
        <v>6.3799999999999996E-2</v>
      </c>
      <c r="M276" t="s">
        <v>29</v>
      </c>
      <c r="N276" t="s">
        <v>30</v>
      </c>
      <c r="O276">
        <v>0</v>
      </c>
      <c r="P276" s="1">
        <v>46022</v>
      </c>
      <c r="R276" s="7"/>
      <c r="S276" s="7"/>
    </row>
    <row r="277" spans="1:19" x14ac:dyDescent="0.3">
      <c r="A277" t="s">
        <v>325</v>
      </c>
      <c r="B277" t="s">
        <v>12</v>
      </c>
      <c r="C277" t="s">
        <v>61</v>
      </c>
      <c r="D277" s="5">
        <v>35013378</v>
      </c>
      <c r="E277">
        <v>28756529.399999999</v>
      </c>
      <c r="F277" t="s">
        <v>14</v>
      </c>
      <c r="G277">
        <v>336</v>
      </c>
      <c r="H277" s="1">
        <f t="shared" si="4"/>
        <v>52596</v>
      </c>
      <c r="I277" t="s">
        <v>15</v>
      </c>
      <c r="J277" s="1">
        <v>42346</v>
      </c>
      <c r="K277" t="s">
        <v>35</v>
      </c>
      <c r="L277" s="3">
        <v>3.4000000000000002E-2</v>
      </c>
      <c r="M277" t="s">
        <v>17</v>
      </c>
      <c r="N277" t="s">
        <v>18</v>
      </c>
      <c r="O277">
        <v>65429836.07</v>
      </c>
      <c r="P277" s="1">
        <v>46022</v>
      </c>
      <c r="R277" s="7"/>
      <c r="S277" s="7"/>
    </row>
    <row r="278" spans="1:19" x14ac:dyDescent="0.3">
      <c r="A278" t="s">
        <v>326</v>
      </c>
      <c r="B278" t="s">
        <v>20</v>
      </c>
      <c r="C278" t="s">
        <v>89</v>
      </c>
      <c r="D278" s="5">
        <v>2587641</v>
      </c>
      <c r="E278">
        <v>1171901.79</v>
      </c>
      <c r="F278" t="s">
        <v>33</v>
      </c>
      <c r="G278">
        <v>96</v>
      </c>
      <c r="H278" s="1">
        <f t="shared" si="4"/>
        <v>45077</v>
      </c>
      <c r="I278" t="s">
        <v>15</v>
      </c>
      <c r="J278" s="1">
        <v>42139</v>
      </c>
      <c r="K278" t="s">
        <v>35</v>
      </c>
      <c r="L278" s="3">
        <v>3.7499999999999999E-2</v>
      </c>
      <c r="M278" t="s">
        <v>17</v>
      </c>
      <c r="N278" t="s">
        <v>42</v>
      </c>
      <c r="O278">
        <v>3645592.08</v>
      </c>
      <c r="P278" s="1">
        <v>46022</v>
      </c>
      <c r="R278" s="7"/>
      <c r="S278" s="7"/>
    </row>
    <row r="279" spans="1:19" x14ac:dyDescent="0.3">
      <c r="A279" t="s">
        <v>327</v>
      </c>
      <c r="B279" t="s">
        <v>12</v>
      </c>
      <c r="C279" t="s">
        <v>26</v>
      </c>
      <c r="D279" s="5">
        <v>15960223</v>
      </c>
      <c r="E279">
        <v>12380228.34</v>
      </c>
      <c r="F279" t="s">
        <v>14</v>
      </c>
      <c r="G279">
        <v>330</v>
      </c>
      <c r="H279" s="1">
        <f t="shared" si="4"/>
        <v>55122</v>
      </c>
      <c r="I279" t="s">
        <v>15</v>
      </c>
      <c r="J279" s="1">
        <v>45063</v>
      </c>
      <c r="K279" t="s">
        <v>39</v>
      </c>
      <c r="L279" s="3">
        <v>9.3299999999999994E-2</v>
      </c>
      <c r="M279" t="s">
        <v>29</v>
      </c>
      <c r="N279" t="s">
        <v>30</v>
      </c>
      <c r="O279">
        <v>0</v>
      </c>
      <c r="P279" s="1">
        <v>46022</v>
      </c>
      <c r="R279" s="7"/>
      <c r="S279" s="7"/>
    </row>
    <row r="280" spans="1:19" x14ac:dyDescent="0.3">
      <c r="A280" t="s">
        <v>328</v>
      </c>
      <c r="B280" t="s">
        <v>24</v>
      </c>
      <c r="C280" t="s">
        <v>41</v>
      </c>
      <c r="D280" s="5">
        <v>29138</v>
      </c>
      <c r="E280">
        <v>6204.58</v>
      </c>
      <c r="F280" t="s">
        <v>14</v>
      </c>
      <c r="G280">
        <v>258</v>
      </c>
      <c r="H280" s="1">
        <f t="shared" si="4"/>
        <v>49278</v>
      </c>
      <c r="I280" t="s">
        <v>15</v>
      </c>
      <c r="J280" s="1">
        <v>41422</v>
      </c>
      <c r="K280" t="s">
        <v>35</v>
      </c>
      <c r="L280" s="3">
        <v>3.6900000000000002E-2</v>
      </c>
      <c r="M280" t="s">
        <v>17</v>
      </c>
      <c r="N280" t="s">
        <v>42</v>
      </c>
      <c r="O280">
        <v>30495.37</v>
      </c>
      <c r="P280" s="1">
        <v>46022</v>
      </c>
      <c r="R280" s="7"/>
      <c r="S280" s="7"/>
    </row>
    <row r="281" spans="1:19" x14ac:dyDescent="0.3">
      <c r="A281" t="s">
        <v>329</v>
      </c>
      <c r="B281" t="s">
        <v>20</v>
      </c>
      <c r="C281" t="s">
        <v>89</v>
      </c>
      <c r="D281" s="5">
        <v>214287</v>
      </c>
      <c r="E281">
        <v>170464.33</v>
      </c>
      <c r="F281" t="s">
        <v>14</v>
      </c>
      <c r="G281">
        <v>126</v>
      </c>
      <c r="H281" s="1">
        <f t="shared" si="4"/>
        <v>46295</v>
      </c>
      <c r="I281" t="s">
        <v>15</v>
      </c>
      <c r="J281" s="1">
        <v>42444</v>
      </c>
      <c r="K281" t="s">
        <v>22</v>
      </c>
      <c r="L281" s="3">
        <v>4.0599999999999997E-2</v>
      </c>
      <c r="M281" t="s">
        <v>17</v>
      </c>
      <c r="N281" t="s">
        <v>42</v>
      </c>
      <c r="O281">
        <v>338481.42</v>
      </c>
      <c r="P281" s="1">
        <v>46022</v>
      </c>
      <c r="R281" s="7"/>
      <c r="S281" s="7"/>
    </row>
    <row r="282" spans="1:19" x14ac:dyDescent="0.3">
      <c r="A282" t="s">
        <v>330</v>
      </c>
      <c r="B282" t="s">
        <v>12</v>
      </c>
      <c r="C282" t="s">
        <v>26</v>
      </c>
      <c r="D282" s="5">
        <v>15893374</v>
      </c>
      <c r="E282">
        <v>4978440.24</v>
      </c>
      <c r="F282" t="s">
        <v>14</v>
      </c>
      <c r="G282">
        <v>120</v>
      </c>
      <c r="H282" s="1">
        <f t="shared" si="4"/>
        <v>47634</v>
      </c>
      <c r="I282" t="s">
        <v>15</v>
      </c>
      <c r="J282" s="1">
        <v>43977</v>
      </c>
      <c r="K282" t="s">
        <v>35</v>
      </c>
      <c r="L282" s="3">
        <v>2.1400000000000002E-2</v>
      </c>
      <c r="M282" t="s">
        <v>17</v>
      </c>
      <c r="N282" t="s">
        <v>42</v>
      </c>
      <c r="O282">
        <v>25700800.059999999</v>
      </c>
      <c r="P282" s="1">
        <v>46022</v>
      </c>
      <c r="R282" s="7"/>
      <c r="S282" s="7"/>
    </row>
    <row r="283" spans="1:19" x14ac:dyDescent="0.3">
      <c r="A283" t="s">
        <v>331</v>
      </c>
      <c r="B283" t="s">
        <v>20</v>
      </c>
      <c r="C283" t="s">
        <v>89</v>
      </c>
      <c r="D283" s="5">
        <v>3283156</v>
      </c>
      <c r="E283">
        <v>2329904.0499999998</v>
      </c>
      <c r="F283" t="s">
        <v>48</v>
      </c>
      <c r="G283">
        <v>324</v>
      </c>
      <c r="H283" s="1">
        <f t="shared" si="4"/>
        <v>50405</v>
      </c>
      <c r="I283" t="s">
        <v>15</v>
      </c>
      <c r="J283" s="1">
        <v>40536</v>
      </c>
      <c r="K283" t="s">
        <v>16</v>
      </c>
      <c r="L283" s="3">
        <v>0.1011</v>
      </c>
      <c r="M283" t="s">
        <v>17</v>
      </c>
      <c r="N283" t="s">
        <v>26</v>
      </c>
      <c r="O283">
        <v>5229963.3499999996</v>
      </c>
      <c r="P283" s="1">
        <v>46022</v>
      </c>
      <c r="R283" s="7"/>
      <c r="S283" s="7"/>
    </row>
    <row r="284" spans="1:19" x14ac:dyDescent="0.3">
      <c r="A284" t="s">
        <v>332</v>
      </c>
      <c r="B284" t="s">
        <v>12</v>
      </c>
      <c r="C284" t="s">
        <v>63</v>
      </c>
      <c r="D284" s="5">
        <v>46976936</v>
      </c>
      <c r="E284">
        <v>28618509.16</v>
      </c>
      <c r="F284" t="s">
        <v>33</v>
      </c>
      <c r="G284">
        <v>162</v>
      </c>
      <c r="H284" s="1">
        <f t="shared" si="4"/>
        <v>50130</v>
      </c>
      <c r="I284" t="s">
        <v>15</v>
      </c>
      <c r="J284" s="1">
        <v>45198</v>
      </c>
      <c r="K284" t="s">
        <v>16</v>
      </c>
      <c r="L284" s="3">
        <v>0.1222</v>
      </c>
      <c r="M284" t="s">
        <v>17</v>
      </c>
      <c r="N284" t="s">
        <v>26</v>
      </c>
      <c r="O284">
        <v>83288984.370000005</v>
      </c>
      <c r="P284" s="1">
        <v>46022</v>
      </c>
      <c r="R284" s="7"/>
      <c r="S284" s="7"/>
    </row>
    <row r="285" spans="1:19" x14ac:dyDescent="0.3">
      <c r="A285" t="s">
        <v>333</v>
      </c>
      <c r="B285" t="s">
        <v>24</v>
      </c>
      <c r="C285" t="s">
        <v>41</v>
      </c>
      <c r="D285" s="5">
        <v>88408</v>
      </c>
      <c r="E285">
        <v>82770.62</v>
      </c>
      <c r="F285" t="s">
        <v>14</v>
      </c>
      <c r="G285">
        <v>228</v>
      </c>
      <c r="H285" s="1">
        <f t="shared" si="4"/>
        <v>51652</v>
      </c>
      <c r="I285" t="s">
        <v>15</v>
      </c>
      <c r="J285" s="1">
        <v>44686</v>
      </c>
      <c r="K285" t="s">
        <v>22</v>
      </c>
      <c r="L285" s="3">
        <v>5.4100000000000002E-2</v>
      </c>
      <c r="M285" t="s">
        <v>17</v>
      </c>
      <c r="N285" t="s">
        <v>42</v>
      </c>
      <c r="O285">
        <v>107000.47</v>
      </c>
      <c r="P285" s="1">
        <v>46022</v>
      </c>
      <c r="R285" s="7"/>
      <c r="S285" s="7"/>
    </row>
    <row r="286" spans="1:19" x14ac:dyDescent="0.3">
      <c r="A286" t="s">
        <v>334</v>
      </c>
      <c r="B286" t="s">
        <v>24</v>
      </c>
      <c r="C286" t="s">
        <v>41</v>
      </c>
      <c r="D286" s="5">
        <v>78946</v>
      </c>
      <c r="E286">
        <v>35414.33</v>
      </c>
      <c r="F286" t="s">
        <v>14</v>
      </c>
      <c r="G286">
        <v>156</v>
      </c>
      <c r="H286" s="1">
        <f t="shared" si="4"/>
        <v>47879</v>
      </c>
      <c r="I286" t="s">
        <v>15</v>
      </c>
      <c r="J286" s="1">
        <v>43105</v>
      </c>
      <c r="K286" t="s">
        <v>22</v>
      </c>
      <c r="L286" s="3">
        <v>5.8400000000000001E-2</v>
      </c>
      <c r="M286" t="s">
        <v>17</v>
      </c>
      <c r="N286" t="s">
        <v>42</v>
      </c>
      <c r="O286">
        <v>85969.36</v>
      </c>
      <c r="P286" s="1">
        <v>46022</v>
      </c>
      <c r="R286" s="7"/>
      <c r="S286" s="7"/>
    </row>
    <row r="287" spans="1:19" x14ac:dyDescent="0.3">
      <c r="A287" t="s">
        <v>335</v>
      </c>
      <c r="B287" t="s">
        <v>24</v>
      </c>
      <c r="C287" t="s">
        <v>25</v>
      </c>
      <c r="D287" s="5">
        <v>809603</v>
      </c>
      <c r="E287">
        <v>129171.02</v>
      </c>
      <c r="F287" t="s">
        <v>14</v>
      </c>
      <c r="G287">
        <v>348</v>
      </c>
      <c r="H287" s="1">
        <f t="shared" si="4"/>
        <v>54423</v>
      </c>
      <c r="I287" t="s">
        <v>15</v>
      </c>
      <c r="J287" s="1">
        <v>43825</v>
      </c>
      <c r="K287" t="s">
        <v>35</v>
      </c>
      <c r="L287" s="3">
        <v>3.1400000000000004E-2</v>
      </c>
      <c r="M287" t="s">
        <v>17</v>
      </c>
      <c r="N287" t="s">
        <v>26</v>
      </c>
      <c r="O287">
        <v>1018432.22</v>
      </c>
      <c r="P287" s="1">
        <v>46022</v>
      </c>
      <c r="R287" s="7"/>
      <c r="S287" s="7"/>
    </row>
    <row r="288" spans="1:19" x14ac:dyDescent="0.3">
      <c r="A288" t="s">
        <v>336</v>
      </c>
      <c r="B288" t="s">
        <v>24</v>
      </c>
      <c r="C288" t="s">
        <v>25</v>
      </c>
      <c r="D288" s="5">
        <v>698486</v>
      </c>
      <c r="E288">
        <v>81890.5</v>
      </c>
      <c r="F288" t="s">
        <v>14</v>
      </c>
      <c r="G288">
        <v>354</v>
      </c>
      <c r="H288" s="1">
        <f t="shared" si="4"/>
        <v>52627</v>
      </c>
      <c r="I288" t="s">
        <v>15</v>
      </c>
      <c r="J288" s="1">
        <v>41831</v>
      </c>
      <c r="K288" t="s">
        <v>56</v>
      </c>
      <c r="L288" s="3">
        <v>3.5000000000000003E-2</v>
      </c>
      <c r="M288" t="s">
        <v>17</v>
      </c>
      <c r="N288" t="s">
        <v>26</v>
      </c>
      <c r="O288">
        <v>986627.02</v>
      </c>
      <c r="P288" s="1">
        <v>46022</v>
      </c>
      <c r="R288" s="7"/>
      <c r="S288" s="7"/>
    </row>
    <row r="289" spans="1:19" x14ac:dyDescent="0.3">
      <c r="A289" t="s">
        <v>337</v>
      </c>
      <c r="B289" t="s">
        <v>12</v>
      </c>
      <c r="C289" t="s">
        <v>13</v>
      </c>
      <c r="D289" s="5">
        <v>13754056</v>
      </c>
      <c r="E289">
        <v>11610798.67</v>
      </c>
      <c r="F289" t="s">
        <v>33</v>
      </c>
      <c r="G289">
        <v>228</v>
      </c>
      <c r="H289" s="1">
        <f t="shared" si="4"/>
        <v>48883</v>
      </c>
      <c r="I289" t="s">
        <v>15</v>
      </c>
      <c r="J289" s="1">
        <v>41920</v>
      </c>
      <c r="K289" t="s">
        <v>22</v>
      </c>
      <c r="L289" s="3">
        <v>5.0799999999999998E-2</v>
      </c>
      <c r="M289" t="s">
        <v>29</v>
      </c>
      <c r="N289" t="s">
        <v>30</v>
      </c>
      <c r="O289">
        <v>0</v>
      </c>
      <c r="P289" s="1">
        <v>46022</v>
      </c>
      <c r="R289" s="7"/>
      <c r="S289" s="7"/>
    </row>
    <row r="290" spans="1:19" x14ac:dyDescent="0.3">
      <c r="A290" t="s">
        <v>338</v>
      </c>
      <c r="B290" t="s">
        <v>24</v>
      </c>
      <c r="C290" t="s">
        <v>28</v>
      </c>
      <c r="D290" s="5">
        <v>45453</v>
      </c>
      <c r="E290">
        <v>26010.78</v>
      </c>
      <c r="F290" t="s">
        <v>14</v>
      </c>
      <c r="G290">
        <v>276</v>
      </c>
      <c r="H290" s="1">
        <f t="shared" si="4"/>
        <v>53692</v>
      </c>
      <c r="I290" t="s">
        <v>15</v>
      </c>
      <c r="J290" s="1">
        <v>45274</v>
      </c>
      <c r="K290" t="s">
        <v>39</v>
      </c>
      <c r="L290" s="3">
        <v>9.9199999999999997E-2</v>
      </c>
      <c r="M290" t="s">
        <v>29</v>
      </c>
      <c r="N290" t="s">
        <v>30</v>
      </c>
      <c r="O290">
        <v>0</v>
      </c>
      <c r="P290" s="1">
        <v>46022</v>
      </c>
      <c r="R290" s="7"/>
      <c r="S290" s="7"/>
    </row>
    <row r="291" spans="1:19" x14ac:dyDescent="0.3">
      <c r="A291" t="s">
        <v>339</v>
      </c>
      <c r="B291" t="s">
        <v>20</v>
      </c>
      <c r="C291" t="s">
        <v>89</v>
      </c>
      <c r="D291" s="5">
        <v>3370125</v>
      </c>
      <c r="E291">
        <v>2688414.88</v>
      </c>
      <c r="F291" t="s">
        <v>48</v>
      </c>
      <c r="G291">
        <v>150</v>
      </c>
      <c r="H291" s="1">
        <f t="shared" si="4"/>
        <v>48182</v>
      </c>
      <c r="I291" t="s">
        <v>15</v>
      </c>
      <c r="J291" s="1">
        <v>43608</v>
      </c>
      <c r="K291" t="s">
        <v>22</v>
      </c>
      <c r="L291" s="3">
        <v>4.1500000000000002E-2</v>
      </c>
      <c r="M291" t="s">
        <v>17</v>
      </c>
      <c r="N291" t="s">
        <v>42</v>
      </c>
      <c r="O291">
        <v>4342924.26</v>
      </c>
      <c r="P291" s="1">
        <v>46022</v>
      </c>
      <c r="R291" s="7"/>
      <c r="S291" s="7"/>
    </row>
    <row r="292" spans="1:19" x14ac:dyDescent="0.3">
      <c r="A292" t="s">
        <v>340</v>
      </c>
      <c r="B292" t="s">
        <v>24</v>
      </c>
      <c r="C292" t="s">
        <v>32</v>
      </c>
      <c r="D292" s="5">
        <v>28462</v>
      </c>
      <c r="E292">
        <v>8851.07</v>
      </c>
      <c r="F292" t="s">
        <v>33</v>
      </c>
      <c r="G292">
        <v>66</v>
      </c>
      <c r="H292" s="1">
        <f t="shared" si="4"/>
        <v>47269</v>
      </c>
      <c r="I292" t="s">
        <v>15</v>
      </c>
      <c r="J292" s="1">
        <v>45237</v>
      </c>
      <c r="K292" t="s">
        <v>16</v>
      </c>
      <c r="L292" s="3">
        <v>0.1207</v>
      </c>
      <c r="M292" t="s">
        <v>29</v>
      </c>
      <c r="N292" t="s">
        <v>30</v>
      </c>
      <c r="O292">
        <v>0</v>
      </c>
      <c r="P292" s="1">
        <v>46022</v>
      </c>
      <c r="R292" s="7"/>
      <c r="S292" s="7"/>
    </row>
    <row r="293" spans="1:19" x14ac:dyDescent="0.3">
      <c r="A293" t="s">
        <v>341</v>
      </c>
      <c r="B293" t="s">
        <v>12</v>
      </c>
      <c r="C293" t="s">
        <v>61</v>
      </c>
      <c r="D293" s="5">
        <v>6438484</v>
      </c>
      <c r="E293">
        <v>2643482.9500000002</v>
      </c>
      <c r="F293" t="s">
        <v>48</v>
      </c>
      <c r="G293">
        <v>60</v>
      </c>
      <c r="H293" s="1">
        <f t="shared" si="4"/>
        <v>46630</v>
      </c>
      <c r="I293" t="s">
        <v>15</v>
      </c>
      <c r="J293" s="1">
        <v>44796</v>
      </c>
      <c r="K293" t="s">
        <v>22</v>
      </c>
      <c r="L293" s="3">
        <v>6.0499999999999998E-2</v>
      </c>
      <c r="M293" t="s">
        <v>17</v>
      </c>
      <c r="N293" t="s">
        <v>18</v>
      </c>
      <c r="O293">
        <v>9874246.3699999992</v>
      </c>
      <c r="P293" s="1">
        <v>46022</v>
      </c>
      <c r="R293" s="7"/>
      <c r="S293" s="7"/>
    </row>
    <row r="294" spans="1:19" x14ac:dyDescent="0.3">
      <c r="A294" t="s">
        <v>342</v>
      </c>
      <c r="B294" t="s">
        <v>24</v>
      </c>
      <c r="C294" t="s">
        <v>25</v>
      </c>
      <c r="D294" s="5">
        <v>502350</v>
      </c>
      <c r="E294">
        <v>63845.41</v>
      </c>
      <c r="F294" t="s">
        <v>14</v>
      </c>
      <c r="G294">
        <v>60</v>
      </c>
      <c r="H294" s="1">
        <f t="shared" si="4"/>
        <v>45716</v>
      </c>
      <c r="I294" t="s">
        <v>15</v>
      </c>
      <c r="J294" s="1">
        <v>43869</v>
      </c>
      <c r="K294" t="s">
        <v>39</v>
      </c>
      <c r="L294" s="3">
        <v>6.0400000000000002E-2</v>
      </c>
      <c r="M294" t="s">
        <v>17</v>
      </c>
      <c r="N294" t="s">
        <v>26</v>
      </c>
      <c r="O294">
        <v>668049.76</v>
      </c>
      <c r="P294" s="1">
        <v>46022</v>
      </c>
      <c r="R294" s="7"/>
      <c r="S294" s="7"/>
    </row>
    <row r="295" spans="1:19" x14ac:dyDescent="0.3">
      <c r="A295" t="s">
        <v>343</v>
      </c>
      <c r="B295" t="s">
        <v>12</v>
      </c>
      <c r="C295" t="s">
        <v>26</v>
      </c>
      <c r="D295" s="5">
        <v>23557555</v>
      </c>
      <c r="E295">
        <v>22741123.27</v>
      </c>
      <c r="F295" t="s">
        <v>33</v>
      </c>
      <c r="G295">
        <v>198</v>
      </c>
      <c r="H295" s="1">
        <f t="shared" si="4"/>
        <v>50829</v>
      </c>
      <c r="I295" t="s">
        <v>15</v>
      </c>
      <c r="J295" s="1">
        <v>44782</v>
      </c>
      <c r="K295" t="s">
        <v>22</v>
      </c>
      <c r="L295" s="3">
        <v>5.7800000000000004E-2</v>
      </c>
      <c r="M295" t="s">
        <v>29</v>
      </c>
      <c r="N295" t="s">
        <v>30</v>
      </c>
      <c r="O295">
        <v>0</v>
      </c>
      <c r="P295" s="1">
        <v>46022</v>
      </c>
      <c r="R295" s="7"/>
      <c r="S295" s="7"/>
    </row>
    <row r="296" spans="1:19" x14ac:dyDescent="0.3">
      <c r="A296" t="s">
        <v>344</v>
      </c>
      <c r="B296" t="s">
        <v>24</v>
      </c>
      <c r="C296" t="s">
        <v>28</v>
      </c>
      <c r="D296" s="5">
        <v>43364</v>
      </c>
      <c r="E296">
        <v>30401.42</v>
      </c>
      <c r="F296" t="s">
        <v>48</v>
      </c>
      <c r="G296">
        <v>318</v>
      </c>
      <c r="H296" s="1">
        <f t="shared" si="4"/>
        <v>53996</v>
      </c>
      <c r="I296" t="s">
        <v>15</v>
      </c>
      <c r="J296" s="1">
        <v>44298</v>
      </c>
      <c r="K296" t="s">
        <v>22</v>
      </c>
      <c r="L296" s="3">
        <v>3.4200000000000001E-2</v>
      </c>
      <c r="M296" t="s">
        <v>29</v>
      </c>
      <c r="N296" t="s">
        <v>30</v>
      </c>
      <c r="O296">
        <v>0</v>
      </c>
      <c r="P296" s="1">
        <v>46022</v>
      </c>
      <c r="R296" s="7"/>
      <c r="S296" s="7"/>
    </row>
    <row r="297" spans="1:19" x14ac:dyDescent="0.3">
      <c r="A297" t="s">
        <v>345</v>
      </c>
      <c r="B297" t="s">
        <v>37</v>
      </c>
      <c r="C297" t="s">
        <v>92</v>
      </c>
      <c r="D297" s="5">
        <v>277857628</v>
      </c>
      <c r="E297">
        <v>261154099.59999999</v>
      </c>
      <c r="F297" t="s">
        <v>33</v>
      </c>
      <c r="G297">
        <v>42</v>
      </c>
      <c r="H297" s="1">
        <f t="shared" si="4"/>
        <v>45991</v>
      </c>
      <c r="I297" t="s">
        <v>15</v>
      </c>
      <c r="J297" s="1">
        <v>44699</v>
      </c>
      <c r="K297" t="s">
        <v>22</v>
      </c>
      <c r="L297" s="3">
        <v>4.53E-2</v>
      </c>
      <c r="M297" t="s">
        <v>17</v>
      </c>
      <c r="N297" t="s">
        <v>26</v>
      </c>
      <c r="O297">
        <v>330208273.30000001</v>
      </c>
      <c r="P297" s="1">
        <v>46022</v>
      </c>
      <c r="R297" s="7"/>
      <c r="S297" s="7"/>
    </row>
    <row r="298" spans="1:19" x14ac:dyDescent="0.3">
      <c r="A298" t="s">
        <v>346</v>
      </c>
      <c r="B298" t="s">
        <v>24</v>
      </c>
      <c r="C298" t="s">
        <v>41</v>
      </c>
      <c r="D298" s="5">
        <v>44236</v>
      </c>
      <c r="E298">
        <v>14993.67</v>
      </c>
      <c r="F298" t="s">
        <v>14</v>
      </c>
      <c r="G298">
        <v>228</v>
      </c>
      <c r="H298" s="1">
        <f t="shared" si="4"/>
        <v>50890</v>
      </c>
      <c r="I298" t="s">
        <v>15</v>
      </c>
      <c r="J298" s="1">
        <v>43944</v>
      </c>
      <c r="K298" t="s">
        <v>22</v>
      </c>
      <c r="L298" s="3">
        <v>3.73E-2</v>
      </c>
      <c r="M298" t="s">
        <v>17</v>
      </c>
      <c r="N298" t="s">
        <v>42</v>
      </c>
      <c r="O298">
        <v>45432.52</v>
      </c>
      <c r="P298" s="1">
        <v>46022</v>
      </c>
      <c r="R298" s="7"/>
      <c r="S298" s="7"/>
    </row>
    <row r="299" spans="1:19" x14ac:dyDescent="0.3">
      <c r="A299" t="s">
        <v>347</v>
      </c>
      <c r="B299" t="s">
        <v>12</v>
      </c>
      <c r="C299" t="s">
        <v>13</v>
      </c>
      <c r="D299" s="5">
        <v>48863216</v>
      </c>
      <c r="E299">
        <v>31776592.329999998</v>
      </c>
      <c r="F299" t="s">
        <v>33</v>
      </c>
      <c r="G299">
        <v>126</v>
      </c>
      <c r="H299" s="1">
        <f t="shared" si="4"/>
        <v>46326</v>
      </c>
      <c r="I299" t="s">
        <v>15</v>
      </c>
      <c r="J299" s="1">
        <v>42480</v>
      </c>
      <c r="K299" t="s">
        <v>22</v>
      </c>
      <c r="L299" s="3">
        <v>4.4600000000000001E-2</v>
      </c>
      <c r="M299" t="s">
        <v>17</v>
      </c>
      <c r="N299" t="s">
        <v>26</v>
      </c>
      <c r="O299">
        <v>72497443.370000005</v>
      </c>
      <c r="P299" s="1">
        <v>46022</v>
      </c>
      <c r="R299" s="7"/>
      <c r="S299" s="7"/>
    </row>
    <row r="300" spans="1:19" x14ac:dyDescent="0.3">
      <c r="A300" t="s">
        <v>348</v>
      </c>
      <c r="B300" t="s">
        <v>12</v>
      </c>
      <c r="C300" t="s">
        <v>61</v>
      </c>
      <c r="D300" s="5">
        <v>6425309</v>
      </c>
      <c r="E300">
        <v>4566145.71</v>
      </c>
      <c r="F300" t="s">
        <v>33</v>
      </c>
      <c r="G300">
        <v>48</v>
      </c>
      <c r="H300" s="1">
        <f t="shared" si="4"/>
        <v>46630</v>
      </c>
      <c r="I300" t="s">
        <v>15</v>
      </c>
      <c r="J300" s="1">
        <v>45153</v>
      </c>
      <c r="K300" t="s">
        <v>39</v>
      </c>
      <c r="L300" s="3">
        <v>9.4399999999999998E-2</v>
      </c>
      <c r="M300" t="s">
        <v>17</v>
      </c>
      <c r="N300" t="s">
        <v>26</v>
      </c>
      <c r="O300">
        <v>9300221.4399999995</v>
      </c>
      <c r="P300" s="1">
        <v>46022</v>
      </c>
      <c r="R300" s="7"/>
      <c r="S300" s="7"/>
    </row>
    <row r="301" spans="1:19" x14ac:dyDescent="0.3">
      <c r="A301" t="s">
        <v>349</v>
      </c>
      <c r="B301" t="s">
        <v>24</v>
      </c>
      <c r="C301" t="s">
        <v>41</v>
      </c>
      <c r="D301" s="5">
        <v>48029</v>
      </c>
      <c r="E301">
        <v>18529.47</v>
      </c>
      <c r="F301" t="s">
        <v>14</v>
      </c>
      <c r="G301">
        <v>306</v>
      </c>
      <c r="H301" s="1">
        <f t="shared" si="4"/>
        <v>54331</v>
      </c>
      <c r="I301" t="s">
        <v>15</v>
      </c>
      <c r="J301" s="1">
        <v>44994</v>
      </c>
      <c r="K301" t="s">
        <v>16</v>
      </c>
      <c r="L301" s="3">
        <v>0.11539999999999999</v>
      </c>
      <c r="M301" t="s">
        <v>17</v>
      </c>
      <c r="N301" t="s">
        <v>42</v>
      </c>
      <c r="O301">
        <v>59277.85</v>
      </c>
      <c r="P301" s="1">
        <v>46022</v>
      </c>
      <c r="R301" s="7"/>
      <c r="S301" s="7"/>
    </row>
    <row r="302" spans="1:19" x14ac:dyDescent="0.3">
      <c r="A302" t="s">
        <v>350</v>
      </c>
      <c r="B302" t="s">
        <v>24</v>
      </c>
      <c r="C302" t="s">
        <v>41</v>
      </c>
      <c r="D302" s="5">
        <v>13782</v>
      </c>
      <c r="E302">
        <v>11898.17</v>
      </c>
      <c r="F302" t="s">
        <v>14</v>
      </c>
      <c r="G302">
        <v>324</v>
      </c>
      <c r="H302" s="1">
        <f t="shared" si="4"/>
        <v>50770</v>
      </c>
      <c r="I302" t="s">
        <v>15</v>
      </c>
      <c r="J302" s="1">
        <v>40889</v>
      </c>
      <c r="K302" t="s">
        <v>22</v>
      </c>
      <c r="L302" s="3">
        <v>6.0199999999999997E-2</v>
      </c>
      <c r="M302" t="s">
        <v>17</v>
      </c>
      <c r="N302" t="s">
        <v>42</v>
      </c>
      <c r="O302">
        <v>14521.35</v>
      </c>
      <c r="P302" s="1">
        <v>46022</v>
      </c>
      <c r="R302" s="7"/>
      <c r="S302" s="7"/>
    </row>
    <row r="303" spans="1:19" x14ac:dyDescent="0.3">
      <c r="A303" t="s">
        <v>351</v>
      </c>
      <c r="B303" t="s">
        <v>24</v>
      </c>
      <c r="C303" t="s">
        <v>32</v>
      </c>
      <c r="D303" s="5">
        <v>37255</v>
      </c>
      <c r="E303">
        <v>35483.64</v>
      </c>
      <c r="F303" t="s">
        <v>33</v>
      </c>
      <c r="G303">
        <v>126</v>
      </c>
      <c r="H303" s="1">
        <f t="shared" si="4"/>
        <v>45322</v>
      </c>
      <c r="I303" t="s">
        <v>15</v>
      </c>
      <c r="J303" s="1">
        <v>41467</v>
      </c>
      <c r="K303" t="s">
        <v>56</v>
      </c>
      <c r="L303" s="3">
        <v>3.27E-2</v>
      </c>
      <c r="M303" t="s">
        <v>29</v>
      </c>
      <c r="N303" t="s">
        <v>30</v>
      </c>
      <c r="O303">
        <v>0</v>
      </c>
      <c r="P303" s="1">
        <v>46022</v>
      </c>
      <c r="R303" s="7"/>
      <c r="S303" s="7"/>
    </row>
    <row r="304" spans="1:19" x14ac:dyDescent="0.3">
      <c r="A304" t="s">
        <v>352</v>
      </c>
      <c r="B304" t="s">
        <v>20</v>
      </c>
      <c r="C304" t="s">
        <v>47</v>
      </c>
      <c r="D304" s="5">
        <v>4594479</v>
      </c>
      <c r="E304">
        <v>4118351.27</v>
      </c>
      <c r="F304" t="s">
        <v>48</v>
      </c>
      <c r="G304">
        <v>336</v>
      </c>
      <c r="H304" s="1">
        <f t="shared" si="4"/>
        <v>53417</v>
      </c>
      <c r="I304" t="s">
        <v>15</v>
      </c>
      <c r="J304" s="1">
        <v>43188</v>
      </c>
      <c r="K304" t="s">
        <v>22</v>
      </c>
      <c r="L304" s="3">
        <v>4.9299999999999997E-2</v>
      </c>
      <c r="M304" t="s">
        <v>17</v>
      </c>
      <c r="N304" t="s">
        <v>18</v>
      </c>
      <c r="O304">
        <v>7088447.4000000004</v>
      </c>
      <c r="P304" s="1">
        <v>46022</v>
      </c>
      <c r="R304" s="7"/>
      <c r="S304" s="7"/>
    </row>
    <row r="305" spans="1:19" x14ac:dyDescent="0.3">
      <c r="A305" t="s">
        <v>353</v>
      </c>
      <c r="B305" t="s">
        <v>12</v>
      </c>
      <c r="C305" t="s">
        <v>13</v>
      </c>
      <c r="D305" s="5">
        <v>14721829</v>
      </c>
      <c r="E305">
        <v>11264558.890000001</v>
      </c>
      <c r="F305" t="s">
        <v>33</v>
      </c>
      <c r="G305">
        <v>120</v>
      </c>
      <c r="H305" s="1">
        <f t="shared" si="4"/>
        <v>48334</v>
      </c>
      <c r="I305" t="s">
        <v>15</v>
      </c>
      <c r="J305" s="1">
        <v>44655</v>
      </c>
      <c r="K305" t="s">
        <v>22</v>
      </c>
      <c r="L305" s="3">
        <v>4.4900000000000002E-2</v>
      </c>
      <c r="M305" t="s">
        <v>17</v>
      </c>
      <c r="N305" t="s">
        <v>18</v>
      </c>
      <c r="O305">
        <v>26283058.100000001</v>
      </c>
      <c r="P305" s="1">
        <v>46022</v>
      </c>
      <c r="R305" s="7"/>
      <c r="S305" s="7"/>
    </row>
    <row r="306" spans="1:19" x14ac:dyDescent="0.3">
      <c r="A306" t="s">
        <v>354</v>
      </c>
      <c r="B306" t="s">
        <v>24</v>
      </c>
      <c r="C306" t="s">
        <v>28</v>
      </c>
      <c r="D306" s="5">
        <v>43059</v>
      </c>
      <c r="E306">
        <v>15058.43</v>
      </c>
      <c r="F306" t="s">
        <v>33</v>
      </c>
      <c r="G306">
        <v>48</v>
      </c>
      <c r="H306" s="1">
        <f t="shared" si="4"/>
        <v>45900</v>
      </c>
      <c r="I306" t="s">
        <v>15</v>
      </c>
      <c r="J306" s="1">
        <v>44411</v>
      </c>
      <c r="K306" t="s">
        <v>35</v>
      </c>
      <c r="L306" s="3">
        <v>3.78E-2</v>
      </c>
      <c r="M306" t="s">
        <v>29</v>
      </c>
      <c r="N306" t="s">
        <v>30</v>
      </c>
      <c r="O306">
        <v>0</v>
      </c>
      <c r="P306" s="1">
        <v>46022</v>
      </c>
      <c r="R306" s="7"/>
      <c r="S306" s="7"/>
    </row>
    <row r="307" spans="1:19" x14ac:dyDescent="0.3">
      <c r="A307" t="s">
        <v>355</v>
      </c>
      <c r="B307" t="s">
        <v>24</v>
      </c>
      <c r="C307" t="s">
        <v>32</v>
      </c>
      <c r="D307" s="5">
        <v>15319</v>
      </c>
      <c r="E307">
        <v>5414.46</v>
      </c>
      <c r="F307" t="s">
        <v>33</v>
      </c>
      <c r="G307">
        <v>348</v>
      </c>
      <c r="H307" s="1">
        <f t="shared" si="4"/>
        <v>54666</v>
      </c>
      <c r="I307" t="s">
        <v>15</v>
      </c>
      <c r="J307" s="1">
        <v>44050</v>
      </c>
      <c r="K307" t="s">
        <v>39</v>
      </c>
      <c r="L307" s="3">
        <v>4.9200000000000001E-2</v>
      </c>
      <c r="M307" t="s">
        <v>29</v>
      </c>
      <c r="N307" t="s">
        <v>30</v>
      </c>
      <c r="O307">
        <v>0</v>
      </c>
      <c r="P307" s="1">
        <v>46022</v>
      </c>
      <c r="R307" s="7"/>
      <c r="S307" s="7"/>
    </row>
    <row r="308" spans="1:19" x14ac:dyDescent="0.3">
      <c r="A308" t="s">
        <v>356</v>
      </c>
      <c r="B308" t="s">
        <v>20</v>
      </c>
      <c r="C308" t="s">
        <v>51</v>
      </c>
      <c r="D308" s="5">
        <v>4558312</v>
      </c>
      <c r="E308" s="4">
        <v>4407998.71</v>
      </c>
      <c r="F308" t="s">
        <v>14</v>
      </c>
      <c r="G308">
        <v>276</v>
      </c>
      <c r="H308" s="1">
        <f t="shared" si="4"/>
        <v>49156</v>
      </c>
      <c r="I308" t="s">
        <v>15</v>
      </c>
      <c r="J308" s="1">
        <v>40737</v>
      </c>
      <c r="K308" t="s">
        <v>81</v>
      </c>
      <c r="L308" s="3">
        <v>0.14810000000000001</v>
      </c>
      <c r="M308" t="s">
        <v>29</v>
      </c>
      <c r="N308" t="s">
        <v>30</v>
      </c>
      <c r="O308">
        <v>0</v>
      </c>
      <c r="P308" s="1">
        <v>46022</v>
      </c>
      <c r="R308" s="7"/>
      <c r="S308" s="7"/>
    </row>
    <row r="309" spans="1:19" x14ac:dyDescent="0.3">
      <c r="A309" t="s">
        <v>357</v>
      </c>
      <c r="B309" t="s">
        <v>37</v>
      </c>
      <c r="C309" t="s">
        <v>78</v>
      </c>
      <c r="D309" s="5">
        <v>379441333</v>
      </c>
      <c r="E309">
        <v>41456259.840000004</v>
      </c>
      <c r="F309" t="s">
        <v>33</v>
      </c>
      <c r="G309">
        <v>186</v>
      </c>
      <c r="H309" s="1">
        <f t="shared" si="4"/>
        <v>48152</v>
      </c>
      <c r="I309" t="s">
        <v>15</v>
      </c>
      <c r="J309" s="1">
        <v>42488</v>
      </c>
      <c r="K309" t="s">
        <v>16</v>
      </c>
      <c r="L309" s="3">
        <v>8.3599999999999994E-2</v>
      </c>
      <c r="M309" t="s">
        <v>29</v>
      </c>
      <c r="N309" t="s">
        <v>30</v>
      </c>
      <c r="O309">
        <v>0</v>
      </c>
      <c r="P309" s="1">
        <v>46022</v>
      </c>
      <c r="R309" s="7"/>
      <c r="S309" s="7"/>
    </row>
    <row r="310" spans="1:19" x14ac:dyDescent="0.3">
      <c r="A310" t="s">
        <v>358</v>
      </c>
      <c r="B310" t="s">
        <v>24</v>
      </c>
      <c r="C310" t="s">
        <v>25</v>
      </c>
      <c r="D310" s="5">
        <v>824416</v>
      </c>
      <c r="E310">
        <v>613732.42000000004</v>
      </c>
      <c r="F310" t="s">
        <v>14</v>
      </c>
      <c r="G310">
        <v>300</v>
      </c>
      <c r="H310" s="1">
        <f t="shared" si="4"/>
        <v>51986</v>
      </c>
      <c r="I310" t="s">
        <v>15</v>
      </c>
      <c r="J310" s="1">
        <v>42839</v>
      </c>
      <c r="K310" t="s">
        <v>35</v>
      </c>
      <c r="L310" s="3">
        <v>3.8699999999999998E-2</v>
      </c>
      <c r="M310" t="s">
        <v>17</v>
      </c>
      <c r="N310" t="s">
        <v>26</v>
      </c>
      <c r="O310">
        <v>1130343.68</v>
      </c>
      <c r="P310" s="1">
        <v>46022</v>
      </c>
      <c r="R310" s="7"/>
      <c r="S310" s="7"/>
    </row>
    <row r="311" spans="1:19" x14ac:dyDescent="0.3">
      <c r="A311" t="s">
        <v>359</v>
      </c>
      <c r="B311" t="s">
        <v>24</v>
      </c>
      <c r="C311" t="s">
        <v>28</v>
      </c>
      <c r="D311" s="5">
        <v>1882</v>
      </c>
      <c r="E311">
        <v>1384.68</v>
      </c>
      <c r="F311" t="s">
        <v>33</v>
      </c>
      <c r="G311">
        <v>342</v>
      </c>
      <c r="H311" s="1">
        <f t="shared" si="4"/>
        <v>55092</v>
      </c>
      <c r="I311" t="s">
        <v>15</v>
      </c>
      <c r="J311" s="1">
        <v>44671</v>
      </c>
      <c r="K311" t="s">
        <v>16</v>
      </c>
      <c r="L311" s="3">
        <v>0.1002</v>
      </c>
      <c r="M311" t="s">
        <v>29</v>
      </c>
      <c r="N311" t="s">
        <v>30</v>
      </c>
      <c r="O311">
        <v>0</v>
      </c>
      <c r="P311" s="1">
        <v>46022</v>
      </c>
      <c r="R311" s="7"/>
      <c r="S311" s="7"/>
    </row>
    <row r="312" spans="1:19" x14ac:dyDescent="0.3">
      <c r="A312" t="s">
        <v>360</v>
      </c>
      <c r="B312" t="s">
        <v>24</v>
      </c>
      <c r="C312" t="s">
        <v>41</v>
      </c>
      <c r="D312" s="5">
        <v>96653</v>
      </c>
      <c r="E312">
        <v>63831.58</v>
      </c>
      <c r="F312" t="s">
        <v>14</v>
      </c>
      <c r="G312">
        <v>174</v>
      </c>
      <c r="H312" s="1">
        <f t="shared" si="4"/>
        <v>46053</v>
      </c>
      <c r="I312" t="s">
        <v>15</v>
      </c>
      <c r="J312" s="1">
        <v>40745</v>
      </c>
      <c r="K312" t="s">
        <v>39</v>
      </c>
      <c r="L312" s="3">
        <v>7.6100000000000001E-2</v>
      </c>
      <c r="M312" t="s">
        <v>17</v>
      </c>
      <c r="N312" t="s">
        <v>42</v>
      </c>
      <c r="O312">
        <v>97178.13</v>
      </c>
      <c r="P312" s="1">
        <v>46022</v>
      </c>
      <c r="R312" s="7"/>
      <c r="S312" s="7"/>
    </row>
    <row r="313" spans="1:19" x14ac:dyDescent="0.3">
      <c r="A313" t="s">
        <v>361</v>
      </c>
      <c r="B313" t="s">
        <v>12</v>
      </c>
      <c r="C313" t="s">
        <v>26</v>
      </c>
      <c r="D313" s="5">
        <v>36606879</v>
      </c>
      <c r="E313">
        <v>36281002.770000003</v>
      </c>
      <c r="F313" t="s">
        <v>14</v>
      </c>
      <c r="G313">
        <v>288</v>
      </c>
      <c r="H313" s="1">
        <f t="shared" si="4"/>
        <v>50344</v>
      </c>
      <c r="I313" t="s">
        <v>15</v>
      </c>
      <c r="J313" s="1">
        <v>41555</v>
      </c>
      <c r="K313" t="s">
        <v>22</v>
      </c>
      <c r="L313" s="3">
        <v>5.1200000000000002E-2</v>
      </c>
      <c r="M313" t="s">
        <v>29</v>
      </c>
      <c r="N313" t="s">
        <v>30</v>
      </c>
      <c r="O313">
        <v>0</v>
      </c>
      <c r="P313" s="1">
        <v>46022</v>
      </c>
      <c r="R313" s="7"/>
      <c r="S313" s="7"/>
    </row>
    <row r="314" spans="1:19" x14ac:dyDescent="0.3">
      <c r="A314" t="s">
        <v>362</v>
      </c>
      <c r="B314" t="s">
        <v>24</v>
      </c>
      <c r="C314" t="s">
        <v>28</v>
      </c>
      <c r="D314" s="5">
        <v>15933</v>
      </c>
      <c r="E314">
        <v>6065.48</v>
      </c>
      <c r="F314" t="s">
        <v>14</v>
      </c>
      <c r="G314">
        <v>60</v>
      </c>
      <c r="H314" s="1">
        <f t="shared" si="4"/>
        <v>45991</v>
      </c>
      <c r="I314" t="s">
        <v>15</v>
      </c>
      <c r="J314" s="1">
        <v>44147</v>
      </c>
      <c r="K314" t="s">
        <v>22</v>
      </c>
      <c r="L314" s="3">
        <v>6.0599999999999994E-2</v>
      </c>
      <c r="M314" t="s">
        <v>29</v>
      </c>
      <c r="N314" t="s">
        <v>30</v>
      </c>
      <c r="O314">
        <v>0</v>
      </c>
      <c r="P314" s="1">
        <v>46022</v>
      </c>
      <c r="R314" s="7"/>
      <c r="S314" s="7"/>
    </row>
    <row r="315" spans="1:19" x14ac:dyDescent="0.3">
      <c r="A315" t="s">
        <v>363</v>
      </c>
      <c r="B315" t="s">
        <v>24</v>
      </c>
      <c r="C315" t="s">
        <v>32</v>
      </c>
      <c r="D315" s="5">
        <v>41640</v>
      </c>
      <c r="E315">
        <v>16904.919999999998</v>
      </c>
      <c r="F315" t="s">
        <v>33</v>
      </c>
      <c r="G315">
        <v>90</v>
      </c>
      <c r="H315" s="1">
        <f t="shared" si="4"/>
        <v>46599</v>
      </c>
      <c r="I315" t="s">
        <v>15</v>
      </c>
      <c r="J315" s="1">
        <v>43832</v>
      </c>
      <c r="K315" t="s">
        <v>39</v>
      </c>
      <c r="L315" s="3">
        <v>6.4199999999999993E-2</v>
      </c>
      <c r="M315" t="s">
        <v>29</v>
      </c>
      <c r="N315" t="s">
        <v>30</v>
      </c>
      <c r="O315">
        <v>0</v>
      </c>
      <c r="P315" s="1">
        <v>46022</v>
      </c>
      <c r="R315" s="7"/>
      <c r="S315" s="7"/>
    </row>
    <row r="316" spans="1:19" x14ac:dyDescent="0.3">
      <c r="A316" t="s">
        <v>364</v>
      </c>
      <c r="B316" t="s">
        <v>12</v>
      </c>
      <c r="C316" t="s">
        <v>13</v>
      </c>
      <c r="D316" s="5">
        <v>14794539</v>
      </c>
      <c r="E316">
        <v>2530538.7200000002</v>
      </c>
      <c r="F316" t="s">
        <v>48</v>
      </c>
      <c r="G316">
        <v>180</v>
      </c>
      <c r="H316" s="1">
        <f t="shared" si="4"/>
        <v>49460</v>
      </c>
      <c r="I316" t="s">
        <v>15</v>
      </c>
      <c r="J316" s="1">
        <v>43976</v>
      </c>
      <c r="K316" t="s">
        <v>22</v>
      </c>
      <c r="L316" s="3">
        <v>2.81E-2</v>
      </c>
      <c r="M316" t="s">
        <v>29</v>
      </c>
      <c r="N316" t="s">
        <v>30</v>
      </c>
      <c r="O316">
        <v>0</v>
      </c>
      <c r="P316" s="1">
        <v>46022</v>
      </c>
      <c r="R316" s="7"/>
      <c r="S316" s="7"/>
    </row>
    <row r="317" spans="1:19" x14ac:dyDescent="0.3">
      <c r="A317" t="s">
        <v>365</v>
      </c>
      <c r="B317" t="s">
        <v>24</v>
      </c>
      <c r="C317" t="s">
        <v>32</v>
      </c>
      <c r="D317" s="5">
        <v>43765</v>
      </c>
      <c r="E317">
        <v>21817.62</v>
      </c>
      <c r="F317" t="s">
        <v>33</v>
      </c>
      <c r="G317">
        <v>156</v>
      </c>
      <c r="H317" s="1">
        <f t="shared" si="4"/>
        <v>45626</v>
      </c>
      <c r="I317" t="s">
        <v>15</v>
      </c>
      <c r="J317" s="1">
        <v>40877</v>
      </c>
      <c r="K317" t="s">
        <v>22</v>
      </c>
      <c r="L317" s="3">
        <v>5.9000000000000004E-2</v>
      </c>
      <c r="M317" t="s">
        <v>29</v>
      </c>
      <c r="N317" t="s">
        <v>30</v>
      </c>
      <c r="O317">
        <v>0</v>
      </c>
      <c r="P317" s="1">
        <v>46022</v>
      </c>
      <c r="R317" s="7"/>
      <c r="S317" s="7"/>
    </row>
    <row r="318" spans="1:19" x14ac:dyDescent="0.3">
      <c r="A318" t="s">
        <v>366</v>
      </c>
      <c r="B318" t="s">
        <v>24</v>
      </c>
      <c r="C318" t="s">
        <v>28</v>
      </c>
      <c r="D318" s="5">
        <v>6516</v>
      </c>
      <c r="E318">
        <v>2182.64</v>
      </c>
      <c r="F318" t="s">
        <v>33</v>
      </c>
      <c r="G318">
        <v>60</v>
      </c>
      <c r="H318" s="1">
        <f t="shared" si="4"/>
        <v>46965</v>
      </c>
      <c r="I318" t="s">
        <v>15</v>
      </c>
      <c r="J318" s="1">
        <v>45128</v>
      </c>
      <c r="K318" t="s">
        <v>22</v>
      </c>
      <c r="L318" s="3">
        <v>7.4200000000000002E-2</v>
      </c>
      <c r="M318" t="s">
        <v>29</v>
      </c>
      <c r="N318" t="s">
        <v>30</v>
      </c>
      <c r="O318">
        <v>0</v>
      </c>
      <c r="P318" s="1">
        <v>46022</v>
      </c>
      <c r="R318" s="7"/>
      <c r="S318" s="7"/>
    </row>
    <row r="319" spans="1:19" x14ac:dyDescent="0.3">
      <c r="A319" t="s">
        <v>367</v>
      </c>
      <c r="B319" t="s">
        <v>24</v>
      </c>
      <c r="C319" t="s">
        <v>25</v>
      </c>
      <c r="D319" s="5">
        <v>733317</v>
      </c>
      <c r="E319">
        <v>299962.03000000003</v>
      </c>
      <c r="F319" t="s">
        <v>14</v>
      </c>
      <c r="G319">
        <v>174</v>
      </c>
      <c r="H319" s="1">
        <f t="shared" si="4"/>
        <v>48944</v>
      </c>
      <c r="I319" t="s">
        <v>15</v>
      </c>
      <c r="J319" s="1">
        <v>43630</v>
      </c>
      <c r="K319" t="s">
        <v>22</v>
      </c>
      <c r="L319" s="3">
        <v>5.7699999999999994E-2</v>
      </c>
      <c r="M319" t="s">
        <v>17</v>
      </c>
      <c r="N319" t="s">
        <v>26</v>
      </c>
      <c r="O319">
        <v>929911.39</v>
      </c>
      <c r="P319" s="1">
        <v>46022</v>
      </c>
      <c r="R319" s="7"/>
      <c r="S319" s="7"/>
    </row>
    <row r="320" spans="1:19" x14ac:dyDescent="0.3">
      <c r="A320" t="s">
        <v>368</v>
      </c>
      <c r="B320" t="s">
        <v>24</v>
      </c>
      <c r="C320" t="s">
        <v>25</v>
      </c>
      <c r="D320" s="5">
        <v>586629</v>
      </c>
      <c r="E320">
        <v>499288.2</v>
      </c>
      <c r="F320" t="s">
        <v>14</v>
      </c>
      <c r="G320">
        <v>324</v>
      </c>
      <c r="H320" s="1">
        <f t="shared" si="4"/>
        <v>54635</v>
      </c>
      <c r="I320" t="s">
        <v>15</v>
      </c>
      <c r="J320" s="1">
        <v>44756</v>
      </c>
      <c r="K320" t="s">
        <v>35</v>
      </c>
      <c r="L320" s="3">
        <v>4.5499999999999999E-2</v>
      </c>
      <c r="M320" t="s">
        <v>17</v>
      </c>
      <c r="N320" t="s">
        <v>26</v>
      </c>
      <c r="O320">
        <v>741135.54</v>
      </c>
      <c r="P320" s="1">
        <v>46022</v>
      </c>
      <c r="R320" s="7"/>
      <c r="S320" s="7"/>
    </row>
    <row r="321" spans="1:19" x14ac:dyDescent="0.3">
      <c r="A321" t="s">
        <v>369</v>
      </c>
      <c r="B321" t="s">
        <v>37</v>
      </c>
      <c r="C321" t="s">
        <v>144</v>
      </c>
      <c r="D321" s="5">
        <v>57301890</v>
      </c>
      <c r="E321">
        <v>53974717</v>
      </c>
      <c r="F321" t="s">
        <v>48</v>
      </c>
      <c r="G321">
        <v>96</v>
      </c>
      <c r="H321" s="1">
        <f t="shared" si="4"/>
        <v>45260</v>
      </c>
      <c r="I321" t="s">
        <v>15</v>
      </c>
      <c r="J321" s="1">
        <v>42324</v>
      </c>
      <c r="K321" t="s">
        <v>16</v>
      </c>
      <c r="L321" s="3">
        <v>0.10050000000000001</v>
      </c>
      <c r="M321" t="s">
        <v>29</v>
      </c>
      <c r="N321" t="s">
        <v>30</v>
      </c>
      <c r="O321">
        <v>0</v>
      </c>
      <c r="P321" s="1">
        <v>46022</v>
      </c>
      <c r="R321" s="7"/>
      <c r="S321" s="7"/>
    </row>
    <row r="322" spans="1:19" x14ac:dyDescent="0.3">
      <c r="A322" t="s">
        <v>370</v>
      </c>
      <c r="B322" t="s">
        <v>37</v>
      </c>
      <c r="C322" t="s">
        <v>78</v>
      </c>
      <c r="D322" s="5">
        <v>128527976</v>
      </c>
      <c r="E322">
        <v>34337503.799999997</v>
      </c>
      <c r="F322" t="s">
        <v>48</v>
      </c>
      <c r="G322">
        <v>216</v>
      </c>
      <c r="H322" s="1">
        <f t="shared" ref="H322:H385" si="5">EOMONTH(J322,G322)</f>
        <v>49979</v>
      </c>
      <c r="I322" t="s">
        <v>15</v>
      </c>
      <c r="J322" s="1">
        <v>43402</v>
      </c>
      <c r="K322" t="s">
        <v>39</v>
      </c>
      <c r="L322" s="3">
        <v>7.8200000000000006E-2</v>
      </c>
      <c r="M322" t="s">
        <v>17</v>
      </c>
      <c r="N322" t="s">
        <v>18</v>
      </c>
      <c r="O322">
        <v>154365667.90000001</v>
      </c>
      <c r="P322" s="1">
        <v>46022</v>
      </c>
      <c r="R322" s="7"/>
      <c r="S322" s="7"/>
    </row>
    <row r="323" spans="1:19" x14ac:dyDescent="0.3">
      <c r="A323" t="s">
        <v>371</v>
      </c>
      <c r="B323" t="s">
        <v>12</v>
      </c>
      <c r="C323" t="s">
        <v>13</v>
      </c>
      <c r="D323" s="5">
        <v>1607798</v>
      </c>
      <c r="E323">
        <v>699806.91</v>
      </c>
      <c r="F323" t="s">
        <v>14</v>
      </c>
      <c r="G323">
        <v>120</v>
      </c>
      <c r="H323" s="1">
        <f t="shared" si="5"/>
        <v>45930</v>
      </c>
      <c r="I323" t="s">
        <v>15</v>
      </c>
      <c r="J323" s="1">
        <v>42261</v>
      </c>
      <c r="K323" t="s">
        <v>39</v>
      </c>
      <c r="L323" s="3">
        <v>7.3300000000000004E-2</v>
      </c>
      <c r="M323" t="s">
        <v>29</v>
      </c>
      <c r="N323" t="s">
        <v>30</v>
      </c>
      <c r="O323">
        <v>0</v>
      </c>
      <c r="P323" s="1">
        <v>46022</v>
      </c>
      <c r="R323" s="7"/>
      <c r="S323" s="7"/>
    </row>
    <row r="324" spans="1:19" x14ac:dyDescent="0.3">
      <c r="A324" t="s">
        <v>372</v>
      </c>
      <c r="B324" t="s">
        <v>24</v>
      </c>
      <c r="C324" t="s">
        <v>28</v>
      </c>
      <c r="D324" s="5">
        <v>23970</v>
      </c>
      <c r="E324">
        <v>22430</v>
      </c>
      <c r="F324" t="s">
        <v>48</v>
      </c>
      <c r="G324">
        <v>270</v>
      </c>
      <c r="H324" s="1">
        <f t="shared" si="5"/>
        <v>53113</v>
      </c>
      <c r="I324" t="s">
        <v>15</v>
      </c>
      <c r="J324" s="1">
        <v>44879</v>
      </c>
      <c r="K324" t="s">
        <v>56</v>
      </c>
      <c r="L324" s="3">
        <v>4.07E-2</v>
      </c>
      <c r="M324" t="s">
        <v>29</v>
      </c>
      <c r="N324" t="s">
        <v>30</v>
      </c>
      <c r="O324">
        <v>0</v>
      </c>
      <c r="P324" s="1">
        <v>46022</v>
      </c>
      <c r="R324" s="7"/>
      <c r="S324" s="7"/>
    </row>
    <row r="325" spans="1:19" x14ac:dyDescent="0.3">
      <c r="A325" t="s">
        <v>373</v>
      </c>
      <c r="B325" t="s">
        <v>24</v>
      </c>
      <c r="C325" t="s">
        <v>32</v>
      </c>
      <c r="D325" s="5">
        <v>15762</v>
      </c>
      <c r="E325">
        <v>2453</v>
      </c>
      <c r="F325" t="s">
        <v>33</v>
      </c>
      <c r="G325">
        <v>324</v>
      </c>
      <c r="H325" s="1">
        <f t="shared" si="5"/>
        <v>51956</v>
      </c>
      <c r="I325" t="s">
        <v>15</v>
      </c>
      <c r="J325" s="1">
        <v>42079</v>
      </c>
      <c r="K325" t="s">
        <v>39</v>
      </c>
      <c r="L325" s="3">
        <v>6.0999999999999999E-2</v>
      </c>
      <c r="M325" t="s">
        <v>29</v>
      </c>
      <c r="N325" t="s">
        <v>30</v>
      </c>
      <c r="O325">
        <v>0</v>
      </c>
      <c r="P325" s="1">
        <v>46022</v>
      </c>
      <c r="R325" s="7"/>
      <c r="S325" s="7"/>
    </row>
    <row r="326" spans="1:19" x14ac:dyDescent="0.3">
      <c r="A326" t="s">
        <v>374</v>
      </c>
      <c r="B326" t="s">
        <v>24</v>
      </c>
      <c r="C326" t="s">
        <v>28</v>
      </c>
      <c r="D326" s="5">
        <v>30320</v>
      </c>
      <c r="E326">
        <v>5552.25</v>
      </c>
      <c r="F326" t="s">
        <v>33</v>
      </c>
      <c r="G326">
        <v>222</v>
      </c>
      <c r="H326" s="1">
        <f t="shared" si="5"/>
        <v>47238</v>
      </c>
      <c r="I326" t="s">
        <v>15</v>
      </c>
      <c r="J326" s="1">
        <v>40473</v>
      </c>
      <c r="K326" t="s">
        <v>35</v>
      </c>
      <c r="L326" s="3">
        <v>5.1200000000000002E-2</v>
      </c>
      <c r="M326" t="s">
        <v>29</v>
      </c>
      <c r="N326" t="s">
        <v>30</v>
      </c>
      <c r="O326">
        <v>0</v>
      </c>
      <c r="P326" s="1">
        <v>46022</v>
      </c>
      <c r="R326" s="7"/>
      <c r="S326" s="7"/>
    </row>
    <row r="327" spans="1:19" x14ac:dyDescent="0.3">
      <c r="A327" t="s">
        <v>375</v>
      </c>
      <c r="B327" t="s">
        <v>20</v>
      </c>
      <c r="C327" t="s">
        <v>21</v>
      </c>
      <c r="D327" s="5">
        <v>1521327</v>
      </c>
      <c r="E327">
        <v>375025.23</v>
      </c>
      <c r="F327" t="s">
        <v>14</v>
      </c>
      <c r="G327">
        <v>132</v>
      </c>
      <c r="H327" s="1">
        <f t="shared" si="5"/>
        <v>49490</v>
      </c>
      <c r="I327" t="s">
        <v>15</v>
      </c>
      <c r="J327" s="1">
        <v>45453</v>
      </c>
      <c r="K327" t="s">
        <v>56</v>
      </c>
      <c r="L327" s="3">
        <v>5.1100000000000007E-2</v>
      </c>
      <c r="M327" t="s">
        <v>29</v>
      </c>
      <c r="N327" t="s">
        <v>30</v>
      </c>
      <c r="O327">
        <v>0</v>
      </c>
      <c r="P327" s="1">
        <v>46022</v>
      </c>
      <c r="R327" s="7"/>
      <c r="S327" s="7"/>
    </row>
    <row r="328" spans="1:19" x14ac:dyDescent="0.3">
      <c r="A328" t="s">
        <v>376</v>
      </c>
      <c r="B328" t="s">
        <v>24</v>
      </c>
      <c r="C328" t="s">
        <v>41</v>
      </c>
      <c r="D328" s="5">
        <v>36993</v>
      </c>
      <c r="E328">
        <v>23515.96</v>
      </c>
      <c r="F328" t="s">
        <v>14</v>
      </c>
      <c r="G328">
        <v>60</v>
      </c>
      <c r="H328" s="1">
        <f t="shared" si="5"/>
        <v>45838</v>
      </c>
      <c r="I328" t="s">
        <v>15</v>
      </c>
      <c r="J328" s="1">
        <v>44008</v>
      </c>
      <c r="K328" t="s">
        <v>22</v>
      </c>
      <c r="L328" s="3">
        <v>4.1900000000000007E-2</v>
      </c>
      <c r="M328" t="s">
        <v>17</v>
      </c>
      <c r="N328" t="s">
        <v>42</v>
      </c>
      <c r="O328">
        <v>44106.76</v>
      </c>
      <c r="P328" s="1">
        <v>46022</v>
      </c>
      <c r="R328" s="7"/>
      <c r="S328" s="7"/>
    </row>
    <row r="329" spans="1:19" x14ac:dyDescent="0.3">
      <c r="A329" t="s">
        <v>377</v>
      </c>
      <c r="B329" t="s">
        <v>20</v>
      </c>
      <c r="C329" t="s">
        <v>89</v>
      </c>
      <c r="D329" s="5">
        <v>3728806</v>
      </c>
      <c r="E329">
        <v>877854.39</v>
      </c>
      <c r="F329" t="s">
        <v>33</v>
      </c>
      <c r="G329">
        <v>138</v>
      </c>
      <c r="H329" s="1">
        <f t="shared" si="5"/>
        <v>47422</v>
      </c>
      <c r="I329" t="s">
        <v>15</v>
      </c>
      <c r="J329" s="1">
        <v>43213</v>
      </c>
      <c r="K329" t="s">
        <v>22</v>
      </c>
      <c r="L329" s="3">
        <v>5.2300000000000006E-2</v>
      </c>
      <c r="M329" t="s">
        <v>17</v>
      </c>
      <c r="N329" t="s">
        <v>18</v>
      </c>
      <c r="O329">
        <v>7051694.1900000004</v>
      </c>
      <c r="P329" s="1">
        <v>46022</v>
      </c>
      <c r="R329" s="7"/>
      <c r="S329" s="7"/>
    </row>
    <row r="330" spans="1:19" x14ac:dyDescent="0.3">
      <c r="A330" t="s">
        <v>378</v>
      </c>
      <c r="B330" t="s">
        <v>24</v>
      </c>
      <c r="C330" t="s">
        <v>28</v>
      </c>
      <c r="D330" s="5">
        <v>3359</v>
      </c>
      <c r="E330">
        <v>3262.49</v>
      </c>
      <c r="F330" t="s">
        <v>33</v>
      </c>
      <c r="G330">
        <v>246</v>
      </c>
      <c r="H330" s="1">
        <f t="shared" si="5"/>
        <v>48944</v>
      </c>
      <c r="I330" t="s">
        <v>15</v>
      </c>
      <c r="J330" s="1">
        <v>41439</v>
      </c>
      <c r="K330" t="s">
        <v>22</v>
      </c>
      <c r="L330" s="3">
        <v>4.6699999999999998E-2</v>
      </c>
      <c r="M330" t="s">
        <v>29</v>
      </c>
      <c r="N330" t="s">
        <v>30</v>
      </c>
      <c r="O330">
        <v>0</v>
      </c>
      <c r="P330" s="1">
        <v>46022</v>
      </c>
      <c r="R330" s="7"/>
      <c r="S330" s="7"/>
    </row>
    <row r="331" spans="1:19" x14ac:dyDescent="0.3">
      <c r="A331" t="s">
        <v>379</v>
      </c>
      <c r="B331" t="s">
        <v>24</v>
      </c>
      <c r="C331" t="s">
        <v>25</v>
      </c>
      <c r="D331" s="5">
        <v>912606</v>
      </c>
      <c r="E331">
        <v>458167.27</v>
      </c>
      <c r="F331" t="s">
        <v>14</v>
      </c>
      <c r="G331">
        <v>240</v>
      </c>
      <c r="H331" s="1">
        <f t="shared" si="5"/>
        <v>50160</v>
      </c>
      <c r="I331" t="s">
        <v>15</v>
      </c>
      <c r="J331" s="1">
        <v>42842</v>
      </c>
      <c r="K331" t="s">
        <v>56</v>
      </c>
      <c r="L331" s="3">
        <v>3.0099999999999998E-2</v>
      </c>
      <c r="M331" t="s">
        <v>17</v>
      </c>
      <c r="N331" t="s">
        <v>26</v>
      </c>
      <c r="O331">
        <v>1196483.68</v>
      </c>
      <c r="P331" s="1">
        <v>46022</v>
      </c>
      <c r="R331" s="7"/>
      <c r="S331" s="7"/>
    </row>
    <row r="332" spans="1:19" x14ac:dyDescent="0.3">
      <c r="A332" t="s">
        <v>380</v>
      </c>
      <c r="B332" t="s">
        <v>20</v>
      </c>
      <c r="C332" t="s">
        <v>21</v>
      </c>
      <c r="D332" s="5">
        <v>4268706</v>
      </c>
      <c r="E332">
        <v>2353620.15</v>
      </c>
      <c r="F332" t="s">
        <v>14</v>
      </c>
      <c r="G332">
        <v>174</v>
      </c>
      <c r="H332" s="1">
        <f t="shared" si="5"/>
        <v>49460</v>
      </c>
      <c r="I332" t="s">
        <v>15</v>
      </c>
      <c r="J332" s="1">
        <v>44147</v>
      </c>
      <c r="K332" t="s">
        <v>22</v>
      </c>
      <c r="L332" s="3">
        <v>3.39E-2</v>
      </c>
      <c r="M332" t="s">
        <v>17</v>
      </c>
      <c r="N332" t="s">
        <v>54</v>
      </c>
      <c r="O332">
        <v>7160364.2199999997</v>
      </c>
      <c r="P332" s="1">
        <v>46022</v>
      </c>
      <c r="R332" s="7"/>
      <c r="S332" s="7"/>
    </row>
    <row r="333" spans="1:19" x14ac:dyDescent="0.3">
      <c r="A333" t="s">
        <v>381</v>
      </c>
      <c r="B333" t="s">
        <v>24</v>
      </c>
      <c r="C333" t="s">
        <v>28</v>
      </c>
      <c r="D333" s="5">
        <v>33722</v>
      </c>
      <c r="E333">
        <v>10858.38</v>
      </c>
      <c r="F333" t="s">
        <v>33</v>
      </c>
      <c r="G333">
        <v>60</v>
      </c>
      <c r="H333" s="1">
        <f t="shared" si="5"/>
        <v>46142</v>
      </c>
      <c r="I333" t="s">
        <v>15</v>
      </c>
      <c r="J333" s="1">
        <v>44304</v>
      </c>
      <c r="K333" t="s">
        <v>35</v>
      </c>
      <c r="L333" s="3">
        <v>3.9399999999999998E-2</v>
      </c>
      <c r="M333" t="s">
        <v>29</v>
      </c>
      <c r="N333" t="s">
        <v>30</v>
      </c>
      <c r="O333">
        <v>0</v>
      </c>
      <c r="P333" s="1">
        <v>46022</v>
      </c>
      <c r="R333" s="7"/>
      <c r="S333" s="7"/>
    </row>
    <row r="334" spans="1:19" x14ac:dyDescent="0.3">
      <c r="A334" t="s">
        <v>382</v>
      </c>
      <c r="B334" t="s">
        <v>20</v>
      </c>
      <c r="C334" t="s">
        <v>89</v>
      </c>
      <c r="D334" s="5">
        <v>2986447</v>
      </c>
      <c r="E334" s="4">
        <v>1564492.63</v>
      </c>
      <c r="F334" t="s">
        <v>14</v>
      </c>
      <c r="G334">
        <v>228</v>
      </c>
      <c r="H334" s="1">
        <f t="shared" si="5"/>
        <v>50617</v>
      </c>
      <c r="I334" t="s">
        <v>15</v>
      </c>
      <c r="J334" s="1">
        <v>43664</v>
      </c>
      <c r="K334" t="s">
        <v>56</v>
      </c>
      <c r="L334" s="3">
        <v>0.1363</v>
      </c>
      <c r="M334" t="s">
        <v>17</v>
      </c>
      <c r="N334" t="s">
        <v>42</v>
      </c>
      <c r="O334">
        <v>4859315.04</v>
      </c>
      <c r="P334" s="1">
        <v>46022</v>
      </c>
      <c r="R334" s="7"/>
      <c r="S334" s="7"/>
    </row>
    <row r="335" spans="1:19" x14ac:dyDescent="0.3">
      <c r="A335" t="s">
        <v>383</v>
      </c>
      <c r="B335" t="s">
        <v>37</v>
      </c>
      <c r="C335" t="s">
        <v>74</v>
      </c>
      <c r="D335" s="5">
        <v>447228224</v>
      </c>
      <c r="E335">
        <v>311146635</v>
      </c>
      <c r="F335" t="s">
        <v>33</v>
      </c>
      <c r="G335">
        <v>168</v>
      </c>
      <c r="H335" s="1">
        <f t="shared" si="5"/>
        <v>48182</v>
      </c>
      <c r="I335" t="s">
        <v>15</v>
      </c>
      <c r="J335" s="1">
        <v>43046</v>
      </c>
      <c r="K335" t="s">
        <v>22</v>
      </c>
      <c r="L335" s="3">
        <v>4.6199999999999998E-2</v>
      </c>
      <c r="M335" t="s">
        <v>17</v>
      </c>
      <c r="N335" t="s">
        <v>42</v>
      </c>
      <c r="O335">
        <v>720013290.70000005</v>
      </c>
      <c r="P335" s="1">
        <v>46022</v>
      </c>
      <c r="R335" s="7"/>
      <c r="S335" s="7"/>
    </row>
    <row r="336" spans="1:19" x14ac:dyDescent="0.3">
      <c r="A336" t="s">
        <v>384</v>
      </c>
      <c r="B336" t="s">
        <v>24</v>
      </c>
      <c r="C336" t="s">
        <v>28</v>
      </c>
      <c r="D336" s="5">
        <v>10081</v>
      </c>
      <c r="E336">
        <v>7823.59</v>
      </c>
      <c r="F336" t="s">
        <v>14</v>
      </c>
      <c r="G336">
        <v>288</v>
      </c>
      <c r="H336" s="1">
        <f t="shared" si="5"/>
        <v>49521</v>
      </c>
      <c r="I336" t="s">
        <v>15</v>
      </c>
      <c r="J336" s="1">
        <v>40735</v>
      </c>
      <c r="K336" t="s">
        <v>39</v>
      </c>
      <c r="L336" s="3">
        <v>7.9100000000000004E-2</v>
      </c>
      <c r="M336" t="s">
        <v>29</v>
      </c>
      <c r="N336" t="s">
        <v>30</v>
      </c>
      <c r="O336">
        <v>0</v>
      </c>
      <c r="P336" s="1">
        <v>46022</v>
      </c>
      <c r="R336" s="7"/>
      <c r="S336" s="7"/>
    </row>
    <row r="337" spans="1:19" x14ac:dyDescent="0.3">
      <c r="A337" t="s">
        <v>385</v>
      </c>
      <c r="B337" t="s">
        <v>37</v>
      </c>
      <c r="C337" t="s">
        <v>78</v>
      </c>
      <c r="D337" s="5">
        <v>48694889</v>
      </c>
      <c r="E337">
        <v>37908059.609999999</v>
      </c>
      <c r="F337" t="s">
        <v>48</v>
      </c>
      <c r="G337">
        <v>228</v>
      </c>
      <c r="H337" s="1">
        <f t="shared" si="5"/>
        <v>51013</v>
      </c>
      <c r="I337" t="s">
        <v>15</v>
      </c>
      <c r="J337" s="1">
        <v>44062</v>
      </c>
      <c r="K337" t="s">
        <v>22</v>
      </c>
      <c r="L337" s="3">
        <v>3.49E-2</v>
      </c>
      <c r="M337" t="s">
        <v>17</v>
      </c>
      <c r="N337" t="s">
        <v>54</v>
      </c>
      <c r="O337">
        <v>90806016.200000003</v>
      </c>
      <c r="P337" s="1">
        <v>46022</v>
      </c>
      <c r="R337" s="7"/>
      <c r="S337" s="7"/>
    </row>
    <row r="338" spans="1:19" x14ac:dyDescent="0.3">
      <c r="A338" t="s">
        <v>386</v>
      </c>
      <c r="B338" t="s">
        <v>24</v>
      </c>
      <c r="C338" t="s">
        <v>41</v>
      </c>
      <c r="D338" s="5">
        <v>31556</v>
      </c>
      <c r="E338">
        <v>19567.89</v>
      </c>
      <c r="F338" t="s">
        <v>14</v>
      </c>
      <c r="G338">
        <v>186</v>
      </c>
      <c r="H338" s="1">
        <f t="shared" si="5"/>
        <v>51104</v>
      </c>
      <c r="I338" t="s">
        <v>15</v>
      </c>
      <c r="J338" s="1">
        <v>45420</v>
      </c>
      <c r="K338" t="s">
        <v>56</v>
      </c>
      <c r="L338" s="3">
        <v>5.7200000000000001E-2</v>
      </c>
      <c r="M338" t="s">
        <v>17</v>
      </c>
      <c r="N338" t="s">
        <v>42</v>
      </c>
      <c r="O338">
        <v>32614.39</v>
      </c>
      <c r="P338" s="1">
        <v>46022</v>
      </c>
      <c r="R338" s="7"/>
      <c r="S338" s="7"/>
    </row>
    <row r="339" spans="1:19" x14ac:dyDescent="0.3">
      <c r="A339" t="s">
        <v>387</v>
      </c>
      <c r="B339" t="s">
        <v>24</v>
      </c>
      <c r="C339" t="s">
        <v>25</v>
      </c>
      <c r="D339" s="5">
        <v>815120</v>
      </c>
      <c r="E339" s="4">
        <v>744957.98</v>
      </c>
      <c r="F339" t="s">
        <v>14</v>
      </c>
      <c r="G339">
        <v>240</v>
      </c>
      <c r="H339" s="1">
        <f t="shared" si="5"/>
        <v>48699</v>
      </c>
      <c r="I339" t="s">
        <v>15</v>
      </c>
      <c r="J339" s="1">
        <v>41369</v>
      </c>
      <c r="K339" t="s">
        <v>101</v>
      </c>
      <c r="L339" s="3">
        <v>0.14499999999999999</v>
      </c>
      <c r="M339" t="s">
        <v>17</v>
      </c>
      <c r="N339" t="s">
        <v>26</v>
      </c>
      <c r="O339">
        <v>1127550.54</v>
      </c>
      <c r="P339" s="1">
        <v>46022</v>
      </c>
      <c r="R339" s="7"/>
      <c r="S339" s="7"/>
    </row>
    <row r="340" spans="1:19" x14ac:dyDescent="0.3">
      <c r="A340" t="s">
        <v>388</v>
      </c>
      <c r="B340" t="s">
        <v>24</v>
      </c>
      <c r="C340" t="s">
        <v>25</v>
      </c>
      <c r="D340" s="5">
        <v>131203</v>
      </c>
      <c r="E340">
        <v>109642.23</v>
      </c>
      <c r="F340" t="s">
        <v>14</v>
      </c>
      <c r="G340">
        <v>318</v>
      </c>
      <c r="H340" s="1">
        <f t="shared" si="5"/>
        <v>52017</v>
      </c>
      <c r="I340" t="s">
        <v>15</v>
      </c>
      <c r="J340" s="1">
        <v>42335</v>
      </c>
      <c r="K340" t="s">
        <v>22</v>
      </c>
      <c r="L340" s="3">
        <v>4.41E-2</v>
      </c>
      <c r="M340" t="s">
        <v>17</v>
      </c>
      <c r="N340" t="s">
        <v>26</v>
      </c>
      <c r="O340">
        <v>184160.65</v>
      </c>
      <c r="P340" s="1">
        <v>46022</v>
      </c>
      <c r="R340" s="7"/>
      <c r="S340" s="7"/>
    </row>
    <row r="341" spans="1:19" x14ac:dyDescent="0.3">
      <c r="A341" t="s">
        <v>389</v>
      </c>
      <c r="B341" t="s">
        <v>24</v>
      </c>
      <c r="C341" t="s">
        <v>25</v>
      </c>
      <c r="D341" s="5">
        <v>624526</v>
      </c>
      <c r="E341">
        <v>487969.32</v>
      </c>
      <c r="F341" t="s">
        <v>14</v>
      </c>
      <c r="G341">
        <v>198</v>
      </c>
      <c r="H341" s="1">
        <f t="shared" si="5"/>
        <v>47087</v>
      </c>
      <c r="I341" t="s">
        <v>15</v>
      </c>
      <c r="J341" s="1">
        <v>41030</v>
      </c>
      <c r="K341" t="s">
        <v>22</v>
      </c>
      <c r="L341" s="3">
        <v>3.9E-2</v>
      </c>
      <c r="M341" t="s">
        <v>17</v>
      </c>
      <c r="N341" t="s">
        <v>26</v>
      </c>
      <c r="O341">
        <v>784318.19</v>
      </c>
      <c r="P341" s="1">
        <v>46022</v>
      </c>
      <c r="R341" s="7"/>
      <c r="S341" s="7"/>
    </row>
    <row r="342" spans="1:19" x14ac:dyDescent="0.3">
      <c r="A342" t="s">
        <v>390</v>
      </c>
      <c r="B342" t="s">
        <v>24</v>
      </c>
      <c r="C342" t="s">
        <v>25</v>
      </c>
      <c r="D342" s="5">
        <v>995894</v>
      </c>
      <c r="E342">
        <v>149428.85</v>
      </c>
      <c r="F342" t="s">
        <v>14</v>
      </c>
      <c r="G342">
        <v>342</v>
      </c>
      <c r="H342" s="1">
        <f t="shared" si="5"/>
        <v>51409</v>
      </c>
      <c r="I342" t="s">
        <v>15</v>
      </c>
      <c r="J342" s="1">
        <v>40998</v>
      </c>
      <c r="K342" t="s">
        <v>39</v>
      </c>
      <c r="L342" s="3">
        <v>6.0700000000000004E-2</v>
      </c>
      <c r="M342" t="s">
        <v>17</v>
      </c>
      <c r="N342" t="s">
        <v>26</v>
      </c>
      <c r="O342">
        <v>1292041.8999999999</v>
      </c>
      <c r="P342" s="1">
        <v>46022</v>
      </c>
      <c r="R342" s="7"/>
      <c r="S342" s="7"/>
    </row>
    <row r="343" spans="1:19" x14ac:dyDescent="0.3">
      <c r="A343" t="s">
        <v>391</v>
      </c>
      <c r="B343" t="s">
        <v>24</v>
      </c>
      <c r="C343" t="s">
        <v>41</v>
      </c>
      <c r="D343" s="5">
        <v>87013</v>
      </c>
      <c r="E343">
        <v>9239.89</v>
      </c>
      <c r="F343" t="s">
        <v>14</v>
      </c>
      <c r="G343">
        <v>120</v>
      </c>
      <c r="H343" s="1">
        <f t="shared" si="5"/>
        <v>46721</v>
      </c>
      <c r="I343" t="s">
        <v>15</v>
      </c>
      <c r="J343" s="1">
        <v>43068</v>
      </c>
      <c r="K343" t="s">
        <v>56</v>
      </c>
      <c r="L343" s="3">
        <v>3.6299999999999999E-2</v>
      </c>
      <c r="M343" t="s">
        <v>17</v>
      </c>
      <c r="N343" t="s">
        <v>42</v>
      </c>
      <c r="O343">
        <v>88645.67</v>
      </c>
      <c r="P343" s="1">
        <v>46022</v>
      </c>
      <c r="R343" s="7"/>
      <c r="S343" s="7"/>
    </row>
    <row r="344" spans="1:19" x14ac:dyDescent="0.3">
      <c r="A344" t="s">
        <v>392</v>
      </c>
      <c r="B344" t="s">
        <v>37</v>
      </c>
      <c r="C344" t="s">
        <v>78</v>
      </c>
      <c r="D344" s="5">
        <v>265508388</v>
      </c>
      <c r="E344">
        <v>77316719.390000001</v>
      </c>
      <c r="F344" t="s">
        <v>33</v>
      </c>
      <c r="G344">
        <v>342</v>
      </c>
      <c r="H344" s="1">
        <f t="shared" si="5"/>
        <v>53358</v>
      </c>
      <c r="I344" t="s">
        <v>15</v>
      </c>
      <c r="J344" s="1">
        <v>42923</v>
      </c>
      <c r="K344" t="s">
        <v>39</v>
      </c>
      <c r="L344" s="3">
        <v>7.2800000000000004E-2</v>
      </c>
      <c r="M344" t="s">
        <v>17</v>
      </c>
      <c r="N344" t="s">
        <v>18</v>
      </c>
      <c r="O344">
        <v>417446589.60000002</v>
      </c>
      <c r="P344" s="1">
        <v>46022</v>
      </c>
      <c r="R344" s="7"/>
      <c r="S344" s="7"/>
    </row>
    <row r="345" spans="1:19" x14ac:dyDescent="0.3">
      <c r="A345" t="s">
        <v>393</v>
      </c>
      <c r="B345" t="s">
        <v>12</v>
      </c>
      <c r="C345" t="s">
        <v>26</v>
      </c>
      <c r="D345" s="5">
        <v>4118405</v>
      </c>
      <c r="E345">
        <v>2871233.19</v>
      </c>
      <c r="F345" t="s">
        <v>14</v>
      </c>
      <c r="G345">
        <v>162</v>
      </c>
      <c r="H345" s="1">
        <f t="shared" si="5"/>
        <v>47514</v>
      </c>
      <c r="I345" t="s">
        <v>15</v>
      </c>
      <c r="J345" s="1">
        <v>42558</v>
      </c>
      <c r="K345" t="s">
        <v>22</v>
      </c>
      <c r="L345" s="3">
        <v>5.6900000000000006E-2</v>
      </c>
      <c r="M345" t="s">
        <v>17</v>
      </c>
      <c r="N345" t="s">
        <v>18</v>
      </c>
      <c r="O345">
        <v>6636702.5700000003</v>
      </c>
      <c r="P345" s="1">
        <v>46022</v>
      </c>
      <c r="R345" s="7"/>
      <c r="S345" s="7"/>
    </row>
    <row r="346" spans="1:19" x14ac:dyDescent="0.3">
      <c r="A346" t="s">
        <v>394</v>
      </c>
      <c r="B346" t="s">
        <v>12</v>
      </c>
      <c r="C346" t="s">
        <v>61</v>
      </c>
      <c r="D346" s="5">
        <v>41737302</v>
      </c>
      <c r="E346">
        <v>19619776.690000001</v>
      </c>
      <c r="F346" t="s">
        <v>33</v>
      </c>
      <c r="G346">
        <v>144</v>
      </c>
      <c r="H346" s="1">
        <f t="shared" si="5"/>
        <v>48610</v>
      </c>
      <c r="I346" t="s">
        <v>15</v>
      </c>
      <c r="J346" s="1">
        <v>44200</v>
      </c>
      <c r="K346" t="s">
        <v>22</v>
      </c>
      <c r="L346" s="3">
        <v>3.4099999999999998E-2</v>
      </c>
      <c r="M346" t="s">
        <v>17</v>
      </c>
      <c r="N346" t="s">
        <v>42</v>
      </c>
      <c r="O346">
        <v>58113488.869999997</v>
      </c>
      <c r="P346" s="1">
        <v>46022</v>
      </c>
      <c r="R346" s="7"/>
      <c r="S346" s="7"/>
    </row>
    <row r="347" spans="1:19" x14ac:dyDescent="0.3">
      <c r="A347" t="s">
        <v>395</v>
      </c>
      <c r="B347" t="s">
        <v>37</v>
      </c>
      <c r="C347" t="s">
        <v>74</v>
      </c>
      <c r="D347" s="5">
        <v>303499469</v>
      </c>
      <c r="E347">
        <v>140267024.30000001</v>
      </c>
      <c r="F347" t="s">
        <v>33</v>
      </c>
      <c r="G347">
        <v>78</v>
      </c>
      <c r="H347" s="1">
        <f t="shared" si="5"/>
        <v>46387</v>
      </c>
      <c r="I347" t="s">
        <v>15</v>
      </c>
      <c r="J347" s="1">
        <v>43997</v>
      </c>
      <c r="K347" t="s">
        <v>56</v>
      </c>
      <c r="L347" s="3">
        <v>1.44E-2</v>
      </c>
      <c r="M347" t="s">
        <v>29</v>
      </c>
      <c r="N347" t="s">
        <v>30</v>
      </c>
      <c r="O347">
        <v>0</v>
      </c>
      <c r="P347" s="1">
        <v>46022</v>
      </c>
      <c r="R347" s="7"/>
      <c r="S347" s="7"/>
    </row>
    <row r="348" spans="1:19" x14ac:dyDescent="0.3">
      <c r="A348" t="s">
        <v>396</v>
      </c>
      <c r="B348" t="s">
        <v>24</v>
      </c>
      <c r="C348" t="s">
        <v>41</v>
      </c>
      <c r="D348" s="5">
        <v>20344</v>
      </c>
      <c r="E348">
        <v>18230.810000000001</v>
      </c>
      <c r="F348" t="s">
        <v>14</v>
      </c>
      <c r="G348">
        <v>156</v>
      </c>
      <c r="H348" s="1">
        <f t="shared" si="5"/>
        <v>49734</v>
      </c>
      <c r="I348" t="s">
        <v>15</v>
      </c>
      <c r="J348" s="1">
        <v>44970</v>
      </c>
      <c r="K348" t="s">
        <v>35</v>
      </c>
      <c r="L348" s="3">
        <v>6.3200000000000006E-2</v>
      </c>
      <c r="M348" t="s">
        <v>17</v>
      </c>
      <c r="N348" t="s">
        <v>42</v>
      </c>
      <c r="O348">
        <v>24487.11</v>
      </c>
      <c r="P348" s="1">
        <v>46022</v>
      </c>
      <c r="R348" s="7"/>
      <c r="S348" s="7"/>
    </row>
    <row r="349" spans="1:19" x14ac:dyDescent="0.3">
      <c r="A349" t="s">
        <v>397</v>
      </c>
      <c r="B349" t="s">
        <v>24</v>
      </c>
      <c r="C349" t="s">
        <v>32</v>
      </c>
      <c r="D349" s="5">
        <v>5599</v>
      </c>
      <c r="E349">
        <v>5072.74</v>
      </c>
      <c r="F349" t="s">
        <v>33</v>
      </c>
      <c r="G349">
        <v>174</v>
      </c>
      <c r="H349" s="1">
        <f t="shared" si="5"/>
        <v>50829</v>
      </c>
      <c r="I349" t="s">
        <v>15</v>
      </c>
      <c r="J349" s="1">
        <v>45513</v>
      </c>
      <c r="K349" t="s">
        <v>16</v>
      </c>
      <c r="L349" s="3">
        <v>0.1158</v>
      </c>
      <c r="M349" t="s">
        <v>29</v>
      </c>
      <c r="N349" t="s">
        <v>30</v>
      </c>
      <c r="O349">
        <v>0</v>
      </c>
      <c r="P349" s="1">
        <v>46022</v>
      </c>
      <c r="R349" s="7"/>
      <c r="S349" s="7"/>
    </row>
    <row r="350" spans="1:19" x14ac:dyDescent="0.3">
      <c r="A350" t="s">
        <v>398</v>
      </c>
      <c r="B350" t="s">
        <v>24</v>
      </c>
      <c r="C350" t="s">
        <v>41</v>
      </c>
      <c r="D350" s="5">
        <v>91866</v>
      </c>
      <c r="E350">
        <v>84357.04</v>
      </c>
      <c r="F350" t="s">
        <v>14</v>
      </c>
      <c r="G350">
        <v>306</v>
      </c>
      <c r="H350" s="1">
        <f t="shared" si="5"/>
        <v>52717</v>
      </c>
      <c r="I350" t="s">
        <v>15</v>
      </c>
      <c r="J350" s="1">
        <v>43389</v>
      </c>
      <c r="K350" t="s">
        <v>39</v>
      </c>
      <c r="L350" s="3">
        <v>6.9800000000000001E-2</v>
      </c>
      <c r="M350" t="s">
        <v>17</v>
      </c>
      <c r="N350" t="s">
        <v>42</v>
      </c>
      <c r="O350">
        <v>107694.07</v>
      </c>
      <c r="P350" s="1">
        <v>46022</v>
      </c>
      <c r="R350" s="7"/>
      <c r="S350" s="7"/>
    </row>
    <row r="351" spans="1:19" x14ac:dyDescent="0.3">
      <c r="A351" t="s">
        <v>399</v>
      </c>
      <c r="B351" t="s">
        <v>12</v>
      </c>
      <c r="C351" t="s">
        <v>13</v>
      </c>
      <c r="D351" s="5">
        <v>33790813</v>
      </c>
      <c r="E351">
        <v>12924657.1</v>
      </c>
      <c r="F351" t="s">
        <v>33</v>
      </c>
      <c r="G351">
        <v>294</v>
      </c>
      <c r="H351" s="1">
        <f t="shared" si="5"/>
        <v>50525</v>
      </c>
      <c r="I351" t="s">
        <v>15</v>
      </c>
      <c r="J351" s="1">
        <v>41556</v>
      </c>
      <c r="K351" t="s">
        <v>35</v>
      </c>
      <c r="L351" s="3">
        <v>4.24E-2</v>
      </c>
      <c r="M351" t="s">
        <v>29</v>
      </c>
      <c r="N351" t="s">
        <v>30</v>
      </c>
      <c r="O351">
        <v>0</v>
      </c>
      <c r="P351" s="1">
        <v>46022</v>
      </c>
      <c r="R351" s="7"/>
      <c r="S351" s="7"/>
    </row>
    <row r="352" spans="1:19" x14ac:dyDescent="0.3">
      <c r="A352" t="s">
        <v>400</v>
      </c>
      <c r="B352" t="s">
        <v>24</v>
      </c>
      <c r="C352" t="s">
        <v>32</v>
      </c>
      <c r="D352" s="5">
        <v>41635</v>
      </c>
      <c r="E352">
        <v>30058.43</v>
      </c>
      <c r="F352" t="s">
        <v>33</v>
      </c>
      <c r="G352">
        <v>258</v>
      </c>
      <c r="H352" s="1">
        <f t="shared" si="5"/>
        <v>53021</v>
      </c>
      <c r="I352" t="s">
        <v>15</v>
      </c>
      <c r="J352" s="1">
        <v>45145</v>
      </c>
      <c r="K352" t="s">
        <v>56</v>
      </c>
      <c r="L352" s="3">
        <v>5.8700000000000002E-2</v>
      </c>
      <c r="M352" t="s">
        <v>29</v>
      </c>
      <c r="N352" t="s">
        <v>30</v>
      </c>
      <c r="O352">
        <v>0</v>
      </c>
      <c r="P352" s="1">
        <v>46022</v>
      </c>
      <c r="R352" s="7"/>
      <c r="S352" s="7"/>
    </row>
    <row r="353" spans="1:19" x14ac:dyDescent="0.3">
      <c r="A353" t="s">
        <v>401</v>
      </c>
      <c r="B353" t="s">
        <v>24</v>
      </c>
      <c r="C353" t="s">
        <v>41</v>
      </c>
      <c r="D353" s="5">
        <v>89108</v>
      </c>
      <c r="E353">
        <v>30695.06</v>
      </c>
      <c r="F353" t="s">
        <v>14</v>
      </c>
      <c r="G353">
        <v>168</v>
      </c>
      <c r="H353" s="1">
        <f t="shared" si="5"/>
        <v>49705</v>
      </c>
      <c r="I353" t="s">
        <v>15</v>
      </c>
      <c r="J353" s="1">
        <v>44592</v>
      </c>
      <c r="K353" t="s">
        <v>39</v>
      </c>
      <c r="L353" s="3">
        <v>7.8100000000000003E-2</v>
      </c>
      <c r="M353" t="s">
        <v>17</v>
      </c>
      <c r="N353" t="s">
        <v>42</v>
      </c>
      <c r="O353">
        <v>96572.63</v>
      </c>
      <c r="P353" s="1">
        <v>46022</v>
      </c>
      <c r="R353" s="7"/>
      <c r="S353" s="7"/>
    </row>
    <row r="354" spans="1:19" x14ac:dyDescent="0.3">
      <c r="A354" t="s">
        <v>402</v>
      </c>
      <c r="B354" t="s">
        <v>24</v>
      </c>
      <c r="C354" t="s">
        <v>41</v>
      </c>
      <c r="D354" s="5">
        <v>61460</v>
      </c>
      <c r="E354">
        <v>16689.259999999998</v>
      </c>
      <c r="F354" t="s">
        <v>14</v>
      </c>
      <c r="G354">
        <v>168</v>
      </c>
      <c r="H354" s="1">
        <f t="shared" si="5"/>
        <v>47879</v>
      </c>
      <c r="I354" t="s">
        <v>15</v>
      </c>
      <c r="J354" s="1">
        <v>42746</v>
      </c>
      <c r="K354" t="s">
        <v>22</v>
      </c>
      <c r="L354" s="3">
        <v>5.0799999999999998E-2</v>
      </c>
      <c r="M354" t="s">
        <v>17</v>
      </c>
      <c r="N354" t="s">
        <v>42</v>
      </c>
      <c r="O354">
        <v>62142.61</v>
      </c>
      <c r="P354" s="1">
        <v>46022</v>
      </c>
      <c r="R354" s="7"/>
      <c r="S354" s="7"/>
    </row>
    <row r="355" spans="1:19" x14ac:dyDescent="0.3">
      <c r="A355" t="s">
        <v>403</v>
      </c>
      <c r="B355" t="s">
        <v>37</v>
      </c>
      <c r="C355" t="s">
        <v>74</v>
      </c>
      <c r="D355" s="5">
        <v>263548712</v>
      </c>
      <c r="E355">
        <v>70148552.989999995</v>
      </c>
      <c r="F355" t="s">
        <v>14</v>
      </c>
      <c r="G355">
        <v>60</v>
      </c>
      <c r="H355" s="1">
        <f t="shared" si="5"/>
        <v>46630</v>
      </c>
      <c r="I355" t="s">
        <v>15</v>
      </c>
      <c r="J355" s="1">
        <v>44797</v>
      </c>
      <c r="K355" t="s">
        <v>22</v>
      </c>
      <c r="L355" s="3">
        <v>5.6600000000000004E-2</v>
      </c>
      <c r="M355" t="s">
        <v>29</v>
      </c>
      <c r="N355" t="s">
        <v>30</v>
      </c>
      <c r="O355">
        <v>0</v>
      </c>
      <c r="P355" s="1">
        <v>46022</v>
      </c>
      <c r="R355" s="7"/>
      <c r="S355" s="7"/>
    </row>
    <row r="356" spans="1:19" x14ac:dyDescent="0.3">
      <c r="A356" t="s">
        <v>404</v>
      </c>
      <c r="B356" t="s">
        <v>37</v>
      </c>
      <c r="C356" t="s">
        <v>74</v>
      </c>
      <c r="D356" s="5">
        <v>220909431</v>
      </c>
      <c r="E356">
        <v>90108263</v>
      </c>
      <c r="F356" t="s">
        <v>48</v>
      </c>
      <c r="G356">
        <v>138</v>
      </c>
      <c r="H356" s="1">
        <f t="shared" si="5"/>
        <v>46568</v>
      </c>
      <c r="I356" t="s">
        <v>15</v>
      </c>
      <c r="J356" s="1">
        <v>42362</v>
      </c>
      <c r="K356" t="s">
        <v>22</v>
      </c>
      <c r="L356" s="3">
        <v>4.7100000000000003E-2</v>
      </c>
      <c r="M356" t="s">
        <v>29</v>
      </c>
      <c r="N356" t="s">
        <v>30</v>
      </c>
      <c r="O356">
        <v>0</v>
      </c>
      <c r="P356" s="1">
        <v>46022</v>
      </c>
      <c r="R356" s="7"/>
      <c r="S356" s="7"/>
    </row>
    <row r="357" spans="1:19" x14ac:dyDescent="0.3">
      <c r="A357" t="s">
        <v>405</v>
      </c>
      <c r="B357" t="s">
        <v>24</v>
      </c>
      <c r="C357" t="s">
        <v>32</v>
      </c>
      <c r="D357" s="5">
        <v>16530</v>
      </c>
      <c r="E357">
        <v>8049.66</v>
      </c>
      <c r="F357" t="s">
        <v>33</v>
      </c>
      <c r="G357">
        <v>174</v>
      </c>
      <c r="H357" s="1">
        <f t="shared" si="5"/>
        <v>50374</v>
      </c>
      <c r="I357" t="s">
        <v>15</v>
      </c>
      <c r="J357" s="1">
        <v>45061</v>
      </c>
      <c r="K357" t="s">
        <v>35</v>
      </c>
      <c r="L357" s="3">
        <v>6.6299999999999998E-2</v>
      </c>
      <c r="M357" t="s">
        <v>29</v>
      </c>
      <c r="N357" t="s">
        <v>30</v>
      </c>
      <c r="O357">
        <v>0</v>
      </c>
      <c r="P357" s="1">
        <v>46022</v>
      </c>
      <c r="R357" s="7"/>
      <c r="S357" s="7"/>
    </row>
    <row r="358" spans="1:19" x14ac:dyDescent="0.3">
      <c r="A358" t="s">
        <v>406</v>
      </c>
      <c r="B358" t="s">
        <v>24</v>
      </c>
      <c r="C358" t="s">
        <v>41</v>
      </c>
      <c r="D358" s="5">
        <v>49114</v>
      </c>
      <c r="E358">
        <v>41641.21</v>
      </c>
      <c r="F358" t="s">
        <v>14</v>
      </c>
      <c r="G358">
        <v>60</v>
      </c>
      <c r="H358" s="1">
        <f t="shared" si="5"/>
        <v>46022</v>
      </c>
      <c r="I358" t="s">
        <v>15</v>
      </c>
      <c r="J358" s="1">
        <v>44194</v>
      </c>
      <c r="K358" t="s">
        <v>39</v>
      </c>
      <c r="L358" s="3">
        <v>5.4400000000000004E-2</v>
      </c>
      <c r="M358" t="s">
        <v>17</v>
      </c>
      <c r="N358" t="s">
        <v>42</v>
      </c>
      <c r="O358">
        <v>53382.28</v>
      </c>
      <c r="P358" s="1">
        <v>46022</v>
      </c>
      <c r="R358" s="7"/>
      <c r="S358" s="7"/>
    </row>
    <row r="359" spans="1:19" x14ac:dyDescent="0.3">
      <c r="A359" t="s">
        <v>407</v>
      </c>
      <c r="B359" t="s">
        <v>37</v>
      </c>
      <c r="C359" t="s">
        <v>74</v>
      </c>
      <c r="D359" s="5">
        <v>389201031</v>
      </c>
      <c r="E359" s="4">
        <v>80915666.629999995</v>
      </c>
      <c r="F359" t="s">
        <v>48</v>
      </c>
      <c r="G359">
        <v>252</v>
      </c>
      <c r="H359" s="1">
        <f t="shared" si="5"/>
        <v>51744</v>
      </c>
      <c r="I359" t="s">
        <v>15</v>
      </c>
      <c r="J359" s="1">
        <v>44055</v>
      </c>
      <c r="K359" t="s">
        <v>35</v>
      </c>
      <c r="L359" s="3">
        <v>0.1293</v>
      </c>
      <c r="M359" t="s">
        <v>29</v>
      </c>
      <c r="N359" t="s">
        <v>30</v>
      </c>
      <c r="O359">
        <v>0</v>
      </c>
      <c r="P359" s="1">
        <v>46022</v>
      </c>
      <c r="R359" s="7"/>
      <c r="S359" s="7"/>
    </row>
    <row r="360" spans="1:19" x14ac:dyDescent="0.3">
      <c r="A360" t="s">
        <v>408</v>
      </c>
      <c r="B360" t="s">
        <v>24</v>
      </c>
      <c r="C360" t="s">
        <v>32</v>
      </c>
      <c r="D360" s="5">
        <v>30494</v>
      </c>
      <c r="E360">
        <v>23219.34</v>
      </c>
      <c r="F360" t="s">
        <v>33</v>
      </c>
      <c r="G360">
        <v>60</v>
      </c>
      <c r="H360" s="1">
        <f t="shared" si="5"/>
        <v>45777</v>
      </c>
      <c r="I360" t="s">
        <v>15</v>
      </c>
      <c r="J360" s="1">
        <v>43928</v>
      </c>
      <c r="K360" t="s">
        <v>35</v>
      </c>
      <c r="L360" s="3">
        <v>3.6499999999999998E-2</v>
      </c>
      <c r="M360" t="s">
        <v>29</v>
      </c>
      <c r="N360" t="s">
        <v>30</v>
      </c>
      <c r="O360">
        <v>0</v>
      </c>
      <c r="P360" s="1">
        <v>46022</v>
      </c>
      <c r="R360" s="7"/>
      <c r="S360" s="7"/>
    </row>
    <row r="361" spans="1:19" x14ac:dyDescent="0.3">
      <c r="A361" t="s">
        <v>409</v>
      </c>
      <c r="B361" t="s">
        <v>24</v>
      </c>
      <c r="C361" t="s">
        <v>28</v>
      </c>
      <c r="D361" s="5">
        <v>44734</v>
      </c>
      <c r="E361">
        <v>25869.89</v>
      </c>
      <c r="F361" t="s">
        <v>48</v>
      </c>
      <c r="G361">
        <v>252</v>
      </c>
      <c r="H361" s="1">
        <f t="shared" si="5"/>
        <v>47907</v>
      </c>
      <c r="I361" t="s">
        <v>15</v>
      </c>
      <c r="J361" s="1">
        <v>40234</v>
      </c>
      <c r="K361" t="s">
        <v>22</v>
      </c>
      <c r="L361" s="3">
        <v>6.1900000000000004E-2</v>
      </c>
      <c r="M361" t="s">
        <v>29</v>
      </c>
      <c r="N361" t="s">
        <v>30</v>
      </c>
      <c r="O361">
        <v>0</v>
      </c>
      <c r="P361" s="1">
        <v>46022</v>
      </c>
      <c r="R361" s="7"/>
      <c r="S361" s="7"/>
    </row>
    <row r="362" spans="1:19" x14ac:dyDescent="0.3">
      <c r="A362" t="s">
        <v>410</v>
      </c>
      <c r="B362" t="s">
        <v>24</v>
      </c>
      <c r="C362" t="s">
        <v>25</v>
      </c>
      <c r="D362" s="5">
        <v>499042</v>
      </c>
      <c r="E362">
        <v>179231.34</v>
      </c>
      <c r="F362" t="s">
        <v>14</v>
      </c>
      <c r="G362">
        <v>216</v>
      </c>
      <c r="H362" s="1">
        <f t="shared" si="5"/>
        <v>48638</v>
      </c>
      <c r="I362" t="s">
        <v>15</v>
      </c>
      <c r="J362" s="1">
        <v>42044</v>
      </c>
      <c r="K362" t="s">
        <v>22</v>
      </c>
      <c r="L362" s="3">
        <v>4.8300000000000003E-2</v>
      </c>
      <c r="M362" t="s">
        <v>17</v>
      </c>
      <c r="N362" t="s">
        <v>26</v>
      </c>
      <c r="O362">
        <v>599750.81999999995</v>
      </c>
      <c r="P362" s="1">
        <v>46022</v>
      </c>
      <c r="R362" s="7"/>
      <c r="S362" s="7"/>
    </row>
    <row r="363" spans="1:19" x14ac:dyDescent="0.3">
      <c r="A363" t="s">
        <v>411</v>
      </c>
      <c r="B363" t="s">
        <v>37</v>
      </c>
      <c r="C363" t="s">
        <v>38</v>
      </c>
      <c r="D363" s="5">
        <v>307473894</v>
      </c>
      <c r="E363">
        <v>167123630.19999999</v>
      </c>
      <c r="F363" t="s">
        <v>14</v>
      </c>
      <c r="G363">
        <v>246</v>
      </c>
      <c r="H363" s="1">
        <f t="shared" si="5"/>
        <v>51560</v>
      </c>
      <c r="I363" t="s">
        <v>15</v>
      </c>
      <c r="J363" s="1">
        <v>44054</v>
      </c>
      <c r="K363" t="s">
        <v>22</v>
      </c>
      <c r="L363" s="3">
        <v>3.5799999999999998E-2</v>
      </c>
      <c r="M363" t="s">
        <v>29</v>
      </c>
      <c r="N363" t="s">
        <v>30</v>
      </c>
      <c r="O363">
        <v>0</v>
      </c>
      <c r="P363" s="1">
        <v>46022</v>
      </c>
      <c r="R363" s="7"/>
      <c r="S363" s="7"/>
    </row>
    <row r="364" spans="1:19" x14ac:dyDescent="0.3">
      <c r="A364" t="s">
        <v>412</v>
      </c>
      <c r="B364" t="s">
        <v>12</v>
      </c>
      <c r="C364" t="s">
        <v>26</v>
      </c>
      <c r="D364" s="5">
        <v>31934070</v>
      </c>
      <c r="E364">
        <v>11813940.98</v>
      </c>
      <c r="F364" t="s">
        <v>48</v>
      </c>
      <c r="G364">
        <v>162</v>
      </c>
      <c r="H364" s="1">
        <f t="shared" si="5"/>
        <v>48273</v>
      </c>
      <c r="I364" t="s">
        <v>15</v>
      </c>
      <c r="J364" s="1">
        <v>43329</v>
      </c>
      <c r="K364" t="s">
        <v>22</v>
      </c>
      <c r="L364" s="3">
        <v>6.0700000000000004E-2</v>
      </c>
      <c r="M364" t="s">
        <v>29</v>
      </c>
      <c r="N364" t="s">
        <v>30</v>
      </c>
      <c r="O364">
        <v>0</v>
      </c>
      <c r="P364" s="1">
        <v>46022</v>
      </c>
      <c r="R364" s="7"/>
      <c r="S364" s="7"/>
    </row>
    <row r="365" spans="1:19" x14ac:dyDescent="0.3">
      <c r="A365" t="s">
        <v>413</v>
      </c>
      <c r="B365" t="s">
        <v>12</v>
      </c>
      <c r="C365" t="s">
        <v>63</v>
      </c>
      <c r="D365" s="5">
        <v>29993161</v>
      </c>
      <c r="E365">
        <v>19089859.920000002</v>
      </c>
      <c r="F365" t="s">
        <v>14</v>
      </c>
      <c r="G365">
        <v>348</v>
      </c>
      <c r="H365" s="1">
        <f t="shared" si="5"/>
        <v>55609</v>
      </c>
      <c r="I365" t="s">
        <v>15</v>
      </c>
      <c r="J365" s="1">
        <v>44993</v>
      </c>
      <c r="K365" t="s">
        <v>39</v>
      </c>
      <c r="L365" s="3">
        <v>9.2200000000000004E-2</v>
      </c>
      <c r="M365" t="s">
        <v>29</v>
      </c>
      <c r="N365" t="s">
        <v>30</v>
      </c>
      <c r="O365">
        <v>0</v>
      </c>
      <c r="P365" s="1">
        <v>46022</v>
      </c>
      <c r="R365" s="7"/>
      <c r="S365" s="7"/>
    </row>
    <row r="366" spans="1:19" x14ac:dyDescent="0.3">
      <c r="A366" t="s">
        <v>414</v>
      </c>
      <c r="B366" t="s">
        <v>37</v>
      </c>
      <c r="C366" t="s">
        <v>38</v>
      </c>
      <c r="D366" s="5">
        <v>354290549</v>
      </c>
      <c r="E366">
        <v>173765176.30000001</v>
      </c>
      <c r="F366" t="s">
        <v>33</v>
      </c>
      <c r="G366">
        <v>276</v>
      </c>
      <c r="H366" s="1">
        <f t="shared" si="5"/>
        <v>51287</v>
      </c>
      <c r="I366" t="s">
        <v>15</v>
      </c>
      <c r="J366" s="1">
        <v>42880</v>
      </c>
      <c r="K366" t="s">
        <v>22</v>
      </c>
      <c r="L366" s="3">
        <v>4.3799999999999999E-2</v>
      </c>
      <c r="M366" t="s">
        <v>29</v>
      </c>
      <c r="N366" t="s">
        <v>30</v>
      </c>
      <c r="O366">
        <v>0</v>
      </c>
      <c r="P366" s="1">
        <v>46022</v>
      </c>
      <c r="R366" s="7"/>
      <c r="S366" s="7"/>
    </row>
    <row r="367" spans="1:19" x14ac:dyDescent="0.3">
      <c r="A367" t="s">
        <v>415</v>
      </c>
      <c r="B367" t="s">
        <v>37</v>
      </c>
      <c r="C367" t="s">
        <v>78</v>
      </c>
      <c r="D367" s="5">
        <v>126342400</v>
      </c>
      <c r="E367">
        <v>31328490.079999998</v>
      </c>
      <c r="F367" t="s">
        <v>33</v>
      </c>
      <c r="G367">
        <v>120</v>
      </c>
      <c r="H367" s="1">
        <f t="shared" si="5"/>
        <v>45443</v>
      </c>
      <c r="I367" t="s">
        <v>15</v>
      </c>
      <c r="J367" s="1">
        <v>41773</v>
      </c>
      <c r="K367" t="s">
        <v>22</v>
      </c>
      <c r="L367" s="3">
        <v>4.9800000000000004E-2</v>
      </c>
      <c r="M367" t="s">
        <v>17</v>
      </c>
      <c r="N367" t="s">
        <v>26</v>
      </c>
      <c r="O367">
        <v>184873926.80000001</v>
      </c>
      <c r="P367" s="1">
        <v>46022</v>
      </c>
      <c r="R367" s="7"/>
      <c r="S367" s="7"/>
    </row>
    <row r="368" spans="1:19" x14ac:dyDescent="0.3">
      <c r="A368" t="s">
        <v>416</v>
      </c>
      <c r="B368" t="s">
        <v>24</v>
      </c>
      <c r="C368" t="s">
        <v>41</v>
      </c>
      <c r="D368" s="5">
        <v>56113</v>
      </c>
      <c r="E368">
        <v>11498.89</v>
      </c>
      <c r="F368" t="s">
        <v>14</v>
      </c>
      <c r="G368">
        <v>150</v>
      </c>
      <c r="H368" s="1">
        <f t="shared" si="5"/>
        <v>47879</v>
      </c>
      <c r="I368" t="s">
        <v>15</v>
      </c>
      <c r="J368" s="1">
        <v>43305</v>
      </c>
      <c r="K368" t="s">
        <v>22</v>
      </c>
      <c r="L368" s="3">
        <v>5.4100000000000002E-2</v>
      </c>
      <c r="M368" t="s">
        <v>17</v>
      </c>
      <c r="N368" t="s">
        <v>42</v>
      </c>
      <c r="O368">
        <v>62277.49</v>
      </c>
      <c r="P368" s="1">
        <v>46022</v>
      </c>
      <c r="R368" s="7"/>
      <c r="S368" s="7"/>
    </row>
    <row r="369" spans="1:19" x14ac:dyDescent="0.3">
      <c r="A369" t="s">
        <v>417</v>
      </c>
      <c r="B369" t="s">
        <v>24</v>
      </c>
      <c r="C369" t="s">
        <v>25</v>
      </c>
      <c r="D369" s="5">
        <v>193802</v>
      </c>
      <c r="E369">
        <v>114736.03</v>
      </c>
      <c r="F369" t="s">
        <v>14</v>
      </c>
      <c r="G369">
        <v>60</v>
      </c>
      <c r="H369" s="1">
        <f t="shared" si="5"/>
        <v>47483</v>
      </c>
      <c r="I369" t="s">
        <v>15</v>
      </c>
      <c r="J369" s="1">
        <v>45657</v>
      </c>
      <c r="K369" t="s">
        <v>35</v>
      </c>
      <c r="L369" s="3">
        <v>6.3299999999999995E-2</v>
      </c>
      <c r="M369" t="s">
        <v>17</v>
      </c>
      <c r="N369" t="s">
        <v>26</v>
      </c>
      <c r="O369">
        <v>248851.33</v>
      </c>
      <c r="P369" s="1">
        <v>46022</v>
      </c>
      <c r="R369" s="7"/>
      <c r="S369" s="7"/>
    </row>
    <row r="370" spans="1:19" x14ac:dyDescent="0.3">
      <c r="A370" t="s">
        <v>418</v>
      </c>
      <c r="B370" t="s">
        <v>24</v>
      </c>
      <c r="C370" t="s">
        <v>32</v>
      </c>
      <c r="D370" s="5">
        <v>19841</v>
      </c>
      <c r="E370">
        <v>18098.45</v>
      </c>
      <c r="F370" t="s">
        <v>33</v>
      </c>
      <c r="G370">
        <v>318</v>
      </c>
      <c r="H370" s="1">
        <f t="shared" si="5"/>
        <v>52231</v>
      </c>
      <c r="I370" t="s">
        <v>15</v>
      </c>
      <c r="J370" s="1">
        <v>42527</v>
      </c>
      <c r="K370" t="s">
        <v>56</v>
      </c>
      <c r="L370" s="3">
        <v>2.7400000000000001E-2</v>
      </c>
      <c r="M370" t="s">
        <v>29</v>
      </c>
      <c r="N370" t="s">
        <v>30</v>
      </c>
      <c r="O370">
        <v>0</v>
      </c>
      <c r="P370" s="1">
        <v>46022</v>
      </c>
      <c r="R370" s="7"/>
      <c r="S370" s="7"/>
    </row>
    <row r="371" spans="1:19" x14ac:dyDescent="0.3">
      <c r="A371" t="s">
        <v>419</v>
      </c>
      <c r="B371" t="s">
        <v>12</v>
      </c>
      <c r="C371" t="s">
        <v>63</v>
      </c>
      <c r="D371" s="5">
        <v>24895686</v>
      </c>
      <c r="E371">
        <v>10196325.050000001</v>
      </c>
      <c r="F371" t="s">
        <v>48</v>
      </c>
      <c r="G371">
        <v>162</v>
      </c>
      <c r="H371" s="1">
        <f t="shared" si="5"/>
        <v>49552</v>
      </c>
      <c r="I371" t="s">
        <v>15</v>
      </c>
      <c r="J371" s="1">
        <v>44602</v>
      </c>
      <c r="K371" t="s">
        <v>39</v>
      </c>
      <c r="L371" s="3">
        <v>7.4700000000000003E-2</v>
      </c>
      <c r="M371" t="s">
        <v>17</v>
      </c>
      <c r="N371" t="s">
        <v>54</v>
      </c>
      <c r="O371">
        <v>36499954.93</v>
      </c>
      <c r="P371" s="1">
        <v>46022</v>
      </c>
      <c r="R371" s="7"/>
      <c r="S371" s="7"/>
    </row>
    <row r="372" spans="1:19" x14ac:dyDescent="0.3">
      <c r="A372" t="s">
        <v>420</v>
      </c>
      <c r="B372" t="s">
        <v>24</v>
      </c>
      <c r="C372" t="s">
        <v>28</v>
      </c>
      <c r="D372" s="5">
        <v>32959</v>
      </c>
      <c r="E372">
        <v>25038.95</v>
      </c>
      <c r="F372" t="s">
        <v>14</v>
      </c>
      <c r="G372">
        <v>60</v>
      </c>
      <c r="H372" s="1">
        <f t="shared" si="5"/>
        <v>46630</v>
      </c>
      <c r="I372" t="s">
        <v>15</v>
      </c>
      <c r="J372" s="1">
        <v>44783</v>
      </c>
      <c r="K372" t="s">
        <v>35</v>
      </c>
      <c r="L372" s="3">
        <v>3.8300000000000001E-2</v>
      </c>
      <c r="M372" t="s">
        <v>29</v>
      </c>
      <c r="N372" t="s">
        <v>30</v>
      </c>
      <c r="O372">
        <v>0</v>
      </c>
      <c r="P372" s="1">
        <v>46022</v>
      </c>
      <c r="R372" s="7"/>
      <c r="S372" s="7"/>
    </row>
    <row r="373" spans="1:19" x14ac:dyDescent="0.3">
      <c r="A373" t="s">
        <v>421</v>
      </c>
      <c r="B373" t="s">
        <v>12</v>
      </c>
      <c r="C373" t="s">
        <v>26</v>
      </c>
      <c r="D373" s="5">
        <v>47576022</v>
      </c>
      <c r="E373">
        <v>32960440.309999999</v>
      </c>
      <c r="F373" t="s">
        <v>33</v>
      </c>
      <c r="G373">
        <v>138</v>
      </c>
      <c r="H373" s="1">
        <f t="shared" si="5"/>
        <v>45900</v>
      </c>
      <c r="I373" t="s">
        <v>15</v>
      </c>
      <c r="J373" s="1">
        <v>41675</v>
      </c>
      <c r="K373" t="s">
        <v>39</v>
      </c>
      <c r="L373" s="3">
        <v>6.54E-2</v>
      </c>
      <c r="M373" t="s">
        <v>17</v>
      </c>
      <c r="N373" t="s">
        <v>18</v>
      </c>
      <c r="O373">
        <v>73376229.129999995</v>
      </c>
      <c r="P373" s="1">
        <v>46022</v>
      </c>
      <c r="R373" s="7"/>
      <c r="S373" s="7"/>
    </row>
    <row r="374" spans="1:19" x14ac:dyDescent="0.3">
      <c r="A374" t="s">
        <v>422</v>
      </c>
      <c r="B374" t="s">
        <v>12</v>
      </c>
      <c r="C374" t="s">
        <v>13</v>
      </c>
      <c r="D374" s="5">
        <v>30431902</v>
      </c>
      <c r="E374">
        <v>28557279.52</v>
      </c>
      <c r="F374" t="s">
        <v>14</v>
      </c>
      <c r="G374">
        <v>60</v>
      </c>
      <c r="H374" s="1">
        <f t="shared" si="5"/>
        <v>45260</v>
      </c>
      <c r="I374" t="s">
        <v>15</v>
      </c>
      <c r="J374" s="1">
        <v>43418</v>
      </c>
      <c r="K374" t="s">
        <v>22</v>
      </c>
      <c r="L374" s="3">
        <v>5.5199999999999999E-2</v>
      </c>
      <c r="M374" t="s">
        <v>17</v>
      </c>
      <c r="N374" t="s">
        <v>54</v>
      </c>
      <c r="O374">
        <v>58722685.280000001</v>
      </c>
      <c r="P374" s="1">
        <v>46022</v>
      </c>
      <c r="R374" s="7"/>
      <c r="S374" s="7"/>
    </row>
    <row r="375" spans="1:19" x14ac:dyDescent="0.3">
      <c r="A375" t="s">
        <v>423</v>
      </c>
      <c r="B375" t="s">
        <v>37</v>
      </c>
      <c r="C375" t="s">
        <v>144</v>
      </c>
      <c r="D375" s="5">
        <v>374361019</v>
      </c>
      <c r="E375">
        <v>314045063</v>
      </c>
      <c r="F375" t="s">
        <v>14</v>
      </c>
      <c r="G375">
        <v>252</v>
      </c>
      <c r="H375" s="1">
        <f t="shared" si="5"/>
        <v>49217</v>
      </c>
      <c r="I375" t="s">
        <v>15</v>
      </c>
      <c r="J375" s="1">
        <v>41543</v>
      </c>
      <c r="K375" t="s">
        <v>22</v>
      </c>
      <c r="L375" s="3">
        <v>5.1299999999999998E-2</v>
      </c>
      <c r="M375" t="s">
        <v>17</v>
      </c>
      <c r="N375" t="s">
        <v>42</v>
      </c>
      <c r="O375">
        <v>468798189.39999998</v>
      </c>
      <c r="P375" s="1">
        <v>46022</v>
      </c>
      <c r="R375" s="7"/>
      <c r="S375" s="7"/>
    </row>
    <row r="376" spans="1:19" x14ac:dyDescent="0.3">
      <c r="A376" t="s">
        <v>424</v>
      </c>
      <c r="B376" t="s">
        <v>37</v>
      </c>
      <c r="C376" t="s">
        <v>74</v>
      </c>
      <c r="D376" s="5">
        <v>258070369</v>
      </c>
      <c r="E376">
        <v>157408662.40000001</v>
      </c>
      <c r="F376" t="s">
        <v>33</v>
      </c>
      <c r="G376">
        <v>312</v>
      </c>
      <c r="H376" s="1">
        <f t="shared" si="5"/>
        <v>50951</v>
      </c>
      <c r="I376" t="s">
        <v>15</v>
      </c>
      <c r="J376" s="1">
        <v>41435</v>
      </c>
      <c r="K376" t="s">
        <v>22</v>
      </c>
      <c r="L376" s="3">
        <v>4.4600000000000001E-2</v>
      </c>
      <c r="M376" t="s">
        <v>17</v>
      </c>
      <c r="N376" t="s">
        <v>54</v>
      </c>
      <c r="O376">
        <v>450442543.60000002</v>
      </c>
      <c r="P376" s="1">
        <v>46022</v>
      </c>
      <c r="R376" s="7"/>
      <c r="S376" s="7"/>
    </row>
    <row r="377" spans="1:19" x14ac:dyDescent="0.3">
      <c r="A377" t="s">
        <v>425</v>
      </c>
      <c r="B377" t="s">
        <v>24</v>
      </c>
      <c r="C377" t="s">
        <v>28</v>
      </c>
      <c r="D377" s="5">
        <v>32071</v>
      </c>
      <c r="E377">
        <v>22171.63</v>
      </c>
      <c r="F377" t="s">
        <v>14</v>
      </c>
      <c r="G377">
        <v>150</v>
      </c>
      <c r="H377" s="1">
        <f t="shared" si="5"/>
        <v>47817</v>
      </c>
      <c r="I377" t="s">
        <v>15</v>
      </c>
      <c r="J377" s="1">
        <v>43236</v>
      </c>
      <c r="K377" t="s">
        <v>22</v>
      </c>
      <c r="L377" s="3">
        <v>5.4900000000000004E-2</v>
      </c>
      <c r="M377" t="s">
        <v>29</v>
      </c>
      <c r="N377" t="s">
        <v>30</v>
      </c>
      <c r="O377">
        <v>0</v>
      </c>
      <c r="P377" s="1">
        <v>46022</v>
      </c>
      <c r="R377" s="7"/>
      <c r="S377" s="7"/>
    </row>
    <row r="378" spans="1:19" x14ac:dyDescent="0.3">
      <c r="A378" t="s">
        <v>426</v>
      </c>
      <c r="B378" t="s">
        <v>12</v>
      </c>
      <c r="C378" t="s">
        <v>13</v>
      </c>
      <c r="D378" s="5">
        <v>4475679</v>
      </c>
      <c r="E378">
        <v>4066368.03</v>
      </c>
      <c r="F378" t="s">
        <v>33</v>
      </c>
      <c r="G378">
        <v>324</v>
      </c>
      <c r="H378" s="1">
        <f t="shared" si="5"/>
        <v>54392</v>
      </c>
      <c r="I378" t="s">
        <v>15</v>
      </c>
      <c r="J378" s="1">
        <v>44512</v>
      </c>
      <c r="K378" t="s">
        <v>35</v>
      </c>
      <c r="L378" s="3">
        <v>2.9900000000000003E-2</v>
      </c>
      <c r="M378" t="s">
        <v>17</v>
      </c>
      <c r="N378" t="s">
        <v>42</v>
      </c>
      <c r="O378">
        <v>7420788.21</v>
      </c>
      <c r="P378" s="1">
        <v>46022</v>
      </c>
      <c r="R378" s="7"/>
      <c r="S378" s="7"/>
    </row>
    <row r="379" spans="1:19" x14ac:dyDescent="0.3">
      <c r="A379" t="s">
        <v>427</v>
      </c>
      <c r="B379" t="s">
        <v>20</v>
      </c>
      <c r="C379" t="s">
        <v>89</v>
      </c>
      <c r="D379" s="5">
        <v>1309238</v>
      </c>
      <c r="E379">
        <v>601682.61</v>
      </c>
      <c r="F379" t="s">
        <v>33</v>
      </c>
      <c r="G379">
        <v>180</v>
      </c>
      <c r="H379" s="1">
        <f t="shared" si="5"/>
        <v>49034</v>
      </c>
      <c r="I379" t="s">
        <v>15</v>
      </c>
      <c r="J379" s="1">
        <v>43528</v>
      </c>
      <c r="K379" t="s">
        <v>22</v>
      </c>
      <c r="L379" s="3">
        <v>4.2599999999999999E-2</v>
      </c>
      <c r="M379" t="s">
        <v>29</v>
      </c>
      <c r="N379" t="s">
        <v>30</v>
      </c>
      <c r="O379">
        <v>0</v>
      </c>
      <c r="P379" s="1">
        <v>46022</v>
      </c>
      <c r="R379" s="7"/>
      <c r="S379" s="7"/>
    </row>
    <row r="380" spans="1:19" x14ac:dyDescent="0.3">
      <c r="A380" t="s">
        <v>428</v>
      </c>
      <c r="B380" t="s">
        <v>20</v>
      </c>
      <c r="C380" t="s">
        <v>21</v>
      </c>
      <c r="D380" s="5">
        <v>1841173</v>
      </c>
      <c r="E380">
        <v>725634.26</v>
      </c>
      <c r="F380" t="s">
        <v>33</v>
      </c>
      <c r="G380">
        <v>360</v>
      </c>
      <c r="H380" s="1">
        <f t="shared" si="5"/>
        <v>54088</v>
      </c>
      <c r="I380" t="s">
        <v>15</v>
      </c>
      <c r="J380" s="1">
        <v>43110</v>
      </c>
      <c r="K380" t="s">
        <v>39</v>
      </c>
      <c r="L380" s="3">
        <v>7.0199999999999999E-2</v>
      </c>
      <c r="M380" t="s">
        <v>17</v>
      </c>
      <c r="N380" t="s">
        <v>18</v>
      </c>
      <c r="O380">
        <v>2431721.79</v>
      </c>
      <c r="P380" s="1">
        <v>46022</v>
      </c>
      <c r="R380" s="7"/>
      <c r="S380" s="7"/>
    </row>
    <row r="381" spans="1:19" x14ac:dyDescent="0.3">
      <c r="A381" t="s">
        <v>429</v>
      </c>
      <c r="B381" t="s">
        <v>24</v>
      </c>
      <c r="C381" t="s">
        <v>32</v>
      </c>
      <c r="D381" s="5">
        <v>24152</v>
      </c>
      <c r="E381">
        <v>2650.22</v>
      </c>
      <c r="F381" t="s">
        <v>33</v>
      </c>
      <c r="G381">
        <v>348</v>
      </c>
      <c r="H381" s="1">
        <f t="shared" si="5"/>
        <v>55915</v>
      </c>
      <c r="I381" t="s">
        <v>15</v>
      </c>
      <c r="J381" s="1">
        <v>45315</v>
      </c>
      <c r="K381" t="s">
        <v>39</v>
      </c>
      <c r="L381" s="3">
        <v>9.4800000000000009E-2</v>
      </c>
      <c r="M381" t="s">
        <v>29</v>
      </c>
      <c r="N381" t="s">
        <v>30</v>
      </c>
      <c r="O381">
        <v>0</v>
      </c>
      <c r="P381" s="1">
        <v>46022</v>
      </c>
      <c r="R381" s="7"/>
      <c r="S381" s="7"/>
    </row>
    <row r="382" spans="1:19" x14ac:dyDescent="0.3">
      <c r="A382" t="s">
        <v>430</v>
      </c>
      <c r="B382" t="s">
        <v>20</v>
      </c>
      <c r="C382" t="s">
        <v>47</v>
      </c>
      <c r="D382" s="5">
        <v>275961</v>
      </c>
      <c r="E382">
        <v>232882.62</v>
      </c>
      <c r="F382" t="s">
        <v>14</v>
      </c>
      <c r="G382">
        <v>60</v>
      </c>
      <c r="H382" s="1">
        <f t="shared" si="5"/>
        <v>46081</v>
      </c>
      <c r="I382" t="s">
        <v>15</v>
      </c>
      <c r="J382" s="1">
        <v>44245</v>
      </c>
      <c r="K382" t="s">
        <v>22</v>
      </c>
      <c r="L382" s="3">
        <v>3.7900000000000003E-2</v>
      </c>
      <c r="M382" t="s">
        <v>17</v>
      </c>
      <c r="N382" t="s">
        <v>54</v>
      </c>
      <c r="O382">
        <v>358708.12</v>
      </c>
      <c r="P382" s="1">
        <v>46022</v>
      </c>
      <c r="R382" s="7"/>
      <c r="S382" s="7"/>
    </row>
    <row r="383" spans="1:19" x14ac:dyDescent="0.3">
      <c r="A383" t="s">
        <v>431</v>
      </c>
      <c r="B383" t="s">
        <v>12</v>
      </c>
      <c r="C383" t="s">
        <v>63</v>
      </c>
      <c r="D383" s="5">
        <v>7861181</v>
      </c>
      <c r="E383">
        <v>6453106.7599999998</v>
      </c>
      <c r="F383" t="s">
        <v>33</v>
      </c>
      <c r="G383">
        <v>318</v>
      </c>
      <c r="H383" s="1">
        <f t="shared" si="5"/>
        <v>55122</v>
      </c>
      <c r="I383" t="s">
        <v>15</v>
      </c>
      <c r="J383" s="1">
        <v>45440</v>
      </c>
      <c r="K383" t="s">
        <v>22</v>
      </c>
      <c r="L383" s="3">
        <v>6.7299999999999999E-2</v>
      </c>
      <c r="M383" t="s">
        <v>29</v>
      </c>
      <c r="N383" t="s">
        <v>30</v>
      </c>
      <c r="O383">
        <v>0</v>
      </c>
      <c r="P383" s="1">
        <v>46022</v>
      </c>
      <c r="R383" s="7"/>
      <c r="S383" s="7"/>
    </row>
    <row r="384" spans="1:19" x14ac:dyDescent="0.3">
      <c r="A384" t="s">
        <v>432</v>
      </c>
      <c r="B384" t="s">
        <v>37</v>
      </c>
      <c r="C384" t="s">
        <v>38</v>
      </c>
      <c r="D384" s="5">
        <v>145639011</v>
      </c>
      <c r="E384">
        <v>28255288.5</v>
      </c>
      <c r="F384" t="s">
        <v>14</v>
      </c>
      <c r="G384">
        <v>60</v>
      </c>
      <c r="H384" s="1">
        <f t="shared" si="5"/>
        <v>46538</v>
      </c>
      <c r="I384" t="s">
        <v>15</v>
      </c>
      <c r="J384" s="1">
        <v>44692</v>
      </c>
      <c r="K384" t="s">
        <v>35</v>
      </c>
      <c r="L384" s="3">
        <v>4.07E-2</v>
      </c>
      <c r="M384" t="s">
        <v>29</v>
      </c>
      <c r="N384" t="s">
        <v>30</v>
      </c>
      <c r="O384">
        <v>0</v>
      </c>
      <c r="P384" s="1">
        <v>46022</v>
      </c>
      <c r="R384" s="7"/>
      <c r="S384" s="7"/>
    </row>
    <row r="385" spans="1:19" x14ac:dyDescent="0.3">
      <c r="A385" t="s">
        <v>433</v>
      </c>
      <c r="B385" t="s">
        <v>37</v>
      </c>
      <c r="C385" t="s">
        <v>144</v>
      </c>
      <c r="D385" s="5">
        <v>486051019</v>
      </c>
      <c r="E385">
        <v>300949007.69999999</v>
      </c>
      <c r="F385" t="s">
        <v>33</v>
      </c>
      <c r="G385">
        <v>348</v>
      </c>
      <c r="H385" s="1">
        <f t="shared" si="5"/>
        <v>54666</v>
      </c>
      <c r="I385" t="s">
        <v>15</v>
      </c>
      <c r="J385" s="1">
        <v>44069</v>
      </c>
      <c r="K385" t="s">
        <v>35</v>
      </c>
      <c r="L385" s="3">
        <v>2.4700000000000003E-2</v>
      </c>
      <c r="M385" t="s">
        <v>17</v>
      </c>
      <c r="N385" t="s">
        <v>42</v>
      </c>
      <c r="O385">
        <v>613260693.79999995</v>
      </c>
      <c r="P385" s="1">
        <v>46022</v>
      </c>
      <c r="R385" s="7"/>
      <c r="S385" s="7"/>
    </row>
    <row r="386" spans="1:19" x14ac:dyDescent="0.3">
      <c r="A386" t="s">
        <v>434</v>
      </c>
      <c r="B386" t="s">
        <v>24</v>
      </c>
      <c r="C386" t="s">
        <v>28</v>
      </c>
      <c r="D386" s="5">
        <v>17236</v>
      </c>
      <c r="E386">
        <v>8921.07</v>
      </c>
      <c r="F386" t="s">
        <v>33</v>
      </c>
      <c r="G386">
        <v>348</v>
      </c>
      <c r="H386" s="1">
        <f t="shared" ref="H386:H449" si="6">EOMONTH(J386,G386)</f>
        <v>53143</v>
      </c>
      <c r="I386" t="s">
        <v>15</v>
      </c>
      <c r="J386" s="1">
        <v>42537</v>
      </c>
      <c r="K386" t="s">
        <v>56</v>
      </c>
      <c r="L386" s="3">
        <v>2.9100000000000001E-2</v>
      </c>
      <c r="M386" t="s">
        <v>29</v>
      </c>
      <c r="N386" t="s">
        <v>30</v>
      </c>
      <c r="O386">
        <v>0</v>
      </c>
      <c r="P386" s="1">
        <v>46022</v>
      </c>
      <c r="R386" s="7"/>
      <c r="S386" s="7"/>
    </row>
    <row r="387" spans="1:19" x14ac:dyDescent="0.3">
      <c r="A387" t="s">
        <v>435</v>
      </c>
      <c r="B387" t="s">
        <v>24</v>
      </c>
      <c r="C387" t="s">
        <v>28</v>
      </c>
      <c r="D387" s="5">
        <v>24620</v>
      </c>
      <c r="E387">
        <v>5092.3599999999997</v>
      </c>
      <c r="F387" t="s">
        <v>48</v>
      </c>
      <c r="G387">
        <v>108</v>
      </c>
      <c r="H387" s="1">
        <f t="shared" si="6"/>
        <v>47817</v>
      </c>
      <c r="I387" t="s">
        <v>15</v>
      </c>
      <c r="J387" s="1">
        <v>44519</v>
      </c>
      <c r="K387" t="s">
        <v>16</v>
      </c>
      <c r="L387" s="3">
        <v>8.539999999999999E-2</v>
      </c>
      <c r="M387" t="s">
        <v>29</v>
      </c>
      <c r="N387" t="s">
        <v>30</v>
      </c>
      <c r="O387">
        <v>0</v>
      </c>
      <c r="P387" s="1">
        <v>46022</v>
      </c>
      <c r="R387" s="7"/>
      <c r="S387" s="7"/>
    </row>
    <row r="388" spans="1:19" x14ac:dyDescent="0.3">
      <c r="A388" t="s">
        <v>436</v>
      </c>
      <c r="B388" t="s">
        <v>12</v>
      </c>
      <c r="C388" t="s">
        <v>13</v>
      </c>
      <c r="D388" s="5">
        <v>10608788</v>
      </c>
      <c r="E388">
        <v>10423255.119999999</v>
      </c>
      <c r="F388" t="s">
        <v>48</v>
      </c>
      <c r="G388">
        <v>138</v>
      </c>
      <c r="H388" s="1">
        <f t="shared" si="6"/>
        <v>49034</v>
      </c>
      <c r="I388" t="s">
        <v>15</v>
      </c>
      <c r="J388" s="1">
        <v>44825</v>
      </c>
      <c r="K388" t="s">
        <v>35</v>
      </c>
      <c r="L388" s="3">
        <v>3.9900000000000005E-2</v>
      </c>
      <c r="M388" t="s">
        <v>17</v>
      </c>
      <c r="N388" t="s">
        <v>26</v>
      </c>
      <c r="O388">
        <v>17316333.309999999</v>
      </c>
      <c r="P388" s="1">
        <v>46022</v>
      </c>
      <c r="R388" s="7"/>
      <c r="S388" s="7"/>
    </row>
    <row r="389" spans="1:19" x14ac:dyDescent="0.3">
      <c r="A389" t="s">
        <v>437</v>
      </c>
      <c r="B389" t="s">
        <v>12</v>
      </c>
      <c r="C389" t="s">
        <v>13</v>
      </c>
      <c r="D389" s="5">
        <v>30928223</v>
      </c>
      <c r="E389">
        <v>9068968.5</v>
      </c>
      <c r="F389" t="s">
        <v>48</v>
      </c>
      <c r="G389">
        <v>120</v>
      </c>
      <c r="H389" s="1">
        <f t="shared" si="6"/>
        <v>45900</v>
      </c>
      <c r="I389" t="s">
        <v>15</v>
      </c>
      <c r="J389" s="1">
        <v>42219</v>
      </c>
      <c r="K389" t="s">
        <v>35</v>
      </c>
      <c r="L389" s="3">
        <v>3.9900000000000005E-2</v>
      </c>
      <c r="M389" t="s">
        <v>29</v>
      </c>
      <c r="N389" t="s">
        <v>30</v>
      </c>
      <c r="O389">
        <v>0</v>
      </c>
      <c r="P389" s="1">
        <v>46022</v>
      </c>
      <c r="R389" s="7"/>
      <c r="S389" s="7"/>
    </row>
    <row r="390" spans="1:19" x14ac:dyDescent="0.3">
      <c r="A390" t="s">
        <v>438</v>
      </c>
      <c r="B390" t="s">
        <v>24</v>
      </c>
      <c r="C390" t="s">
        <v>41</v>
      </c>
      <c r="D390" s="5">
        <v>35261</v>
      </c>
      <c r="E390">
        <v>5659.85</v>
      </c>
      <c r="F390" t="s">
        <v>14</v>
      </c>
      <c r="G390">
        <v>72</v>
      </c>
      <c r="H390" s="1">
        <f t="shared" si="6"/>
        <v>46904</v>
      </c>
      <c r="I390" t="s">
        <v>15</v>
      </c>
      <c r="J390" s="1">
        <v>44685</v>
      </c>
      <c r="K390" t="s">
        <v>22</v>
      </c>
      <c r="L390" s="3">
        <v>5.2900000000000003E-2</v>
      </c>
      <c r="M390" t="s">
        <v>17</v>
      </c>
      <c r="N390" t="s">
        <v>42</v>
      </c>
      <c r="O390">
        <v>43977.85</v>
      </c>
      <c r="P390" s="1">
        <v>46022</v>
      </c>
      <c r="R390" s="7"/>
      <c r="S390" s="7"/>
    </row>
    <row r="391" spans="1:19" x14ac:dyDescent="0.3">
      <c r="A391" t="s">
        <v>439</v>
      </c>
      <c r="B391" t="s">
        <v>37</v>
      </c>
      <c r="C391" t="s">
        <v>74</v>
      </c>
      <c r="D391" s="5">
        <v>111426363</v>
      </c>
      <c r="E391">
        <v>70796148.609999999</v>
      </c>
      <c r="F391" t="s">
        <v>14</v>
      </c>
      <c r="G391">
        <v>132</v>
      </c>
      <c r="H391" s="1">
        <f t="shared" si="6"/>
        <v>45716</v>
      </c>
      <c r="I391" t="s">
        <v>15</v>
      </c>
      <c r="J391" s="1">
        <v>41689</v>
      </c>
      <c r="K391" t="s">
        <v>35</v>
      </c>
      <c r="L391" s="3">
        <v>3.8100000000000002E-2</v>
      </c>
      <c r="M391" t="s">
        <v>29</v>
      </c>
      <c r="N391" t="s">
        <v>30</v>
      </c>
      <c r="O391">
        <v>0</v>
      </c>
      <c r="P391" s="1">
        <v>46022</v>
      </c>
      <c r="R391" s="7"/>
      <c r="S391" s="7"/>
    </row>
    <row r="392" spans="1:19" x14ac:dyDescent="0.3">
      <c r="A392" t="s">
        <v>440</v>
      </c>
      <c r="B392" t="s">
        <v>24</v>
      </c>
      <c r="C392" t="s">
        <v>32</v>
      </c>
      <c r="D392" s="5">
        <v>26312</v>
      </c>
      <c r="E392">
        <v>20128.2</v>
      </c>
      <c r="F392" t="s">
        <v>33</v>
      </c>
      <c r="G392">
        <v>222</v>
      </c>
      <c r="H392" s="1">
        <f t="shared" si="6"/>
        <v>47118</v>
      </c>
      <c r="I392" t="s">
        <v>15</v>
      </c>
      <c r="J392" s="1">
        <v>40359</v>
      </c>
      <c r="K392" t="s">
        <v>39</v>
      </c>
      <c r="L392" s="3">
        <v>7.6600000000000001E-2</v>
      </c>
      <c r="M392" t="s">
        <v>29</v>
      </c>
      <c r="N392" t="s">
        <v>30</v>
      </c>
      <c r="O392">
        <v>0</v>
      </c>
      <c r="P392" s="1">
        <v>46022</v>
      </c>
      <c r="R392" s="7"/>
      <c r="S392" s="7"/>
    </row>
    <row r="393" spans="1:19" x14ac:dyDescent="0.3">
      <c r="A393" t="s">
        <v>441</v>
      </c>
      <c r="B393" t="s">
        <v>37</v>
      </c>
      <c r="C393" t="s">
        <v>38</v>
      </c>
      <c r="D393" s="5">
        <v>12697842</v>
      </c>
      <c r="E393">
        <v>1640549.72</v>
      </c>
      <c r="F393" t="s">
        <v>14</v>
      </c>
      <c r="G393">
        <v>120</v>
      </c>
      <c r="H393" s="1">
        <f t="shared" si="6"/>
        <v>47999</v>
      </c>
      <c r="I393" t="s">
        <v>15</v>
      </c>
      <c r="J393" s="1">
        <v>44319</v>
      </c>
      <c r="K393" t="s">
        <v>56</v>
      </c>
      <c r="L393" s="3">
        <v>2.29E-2</v>
      </c>
      <c r="M393" t="s">
        <v>29</v>
      </c>
      <c r="N393" t="s">
        <v>30</v>
      </c>
      <c r="O393">
        <v>0</v>
      </c>
      <c r="P393" s="1">
        <v>46022</v>
      </c>
      <c r="R393" s="7"/>
      <c r="S393" s="7"/>
    </row>
    <row r="394" spans="1:19" x14ac:dyDescent="0.3">
      <c r="A394" t="s">
        <v>442</v>
      </c>
      <c r="B394" t="s">
        <v>12</v>
      </c>
      <c r="C394" t="s">
        <v>63</v>
      </c>
      <c r="D394" s="5">
        <v>1375538</v>
      </c>
      <c r="E394">
        <v>953035.55</v>
      </c>
      <c r="F394" t="s">
        <v>33</v>
      </c>
      <c r="G394">
        <v>234</v>
      </c>
      <c r="H394" s="1">
        <f t="shared" si="6"/>
        <v>47542</v>
      </c>
      <c r="I394" t="s">
        <v>15</v>
      </c>
      <c r="J394" s="1">
        <v>40401</v>
      </c>
      <c r="K394" t="s">
        <v>35</v>
      </c>
      <c r="L394" s="3">
        <v>5.0599999999999999E-2</v>
      </c>
      <c r="M394" t="s">
        <v>17</v>
      </c>
      <c r="N394" t="s">
        <v>54</v>
      </c>
      <c r="O394">
        <v>2027862.53</v>
      </c>
      <c r="P394" s="1">
        <v>46022</v>
      </c>
      <c r="R394" s="7"/>
      <c r="S394" s="7"/>
    </row>
    <row r="395" spans="1:19" x14ac:dyDescent="0.3">
      <c r="A395" t="s">
        <v>443</v>
      </c>
      <c r="B395" t="s">
        <v>24</v>
      </c>
      <c r="C395" t="s">
        <v>25</v>
      </c>
      <c r="D395" s="5">
        <v>297162</v>
      </c>
      <c r="E395">
        <v>172075.39</v>
      </c>
      <c r="F395" t="s">
        <v>14</v>
      </c>
      <c r="G395">
        <v>144</v>
      </c>
      <c r="H395" s="1">
        <f t="shared" si="6"/>
        <v>50040</v>
      </c>
      <c r="I395" t="s">
        <v>15</v>
      </c>
      <c r="J395" s="1">
        <v>45636</v>
      </c>
      <c r="K395" t="s">
        <v>39</v>
      </c>
      <c r="L395" s="3">
        <v>9.4299999999999995E-2</v>
      </c>
      <c r="M395" t="s">
        <v>17</v>
      </c>
      <c r="N395" t="s">
        <v>26</v>
      </c>
      <c r="O395">
        <v>365928.66</v>
      </c>
      <c r="P395" s="1">
        <v>46022</v>
      </c>
      <c r="R395" s="7"/>
      <c r="S395" s="7"/>
    </row>
    <row r="396" spans="1:19" x14ac:dyDescent="0.3">
      <c r="A396" t="s">
        <v>444</v>
      </c>
      <c r="B396" t="s">
        <v>12</v>
      </c>
      <c r="C396" t="s">
        <v>61</v>
      </c>
      <c r="D396" s="5">
        <v>2799347</v>
      </c>
      <c r="E396">
        <v>540101.79</v>
      </c>
      <c r="F396" t="s">
        <v>33</v>
      </c>
      <c r="G396">
        <v>288</v>
      </c>
      <c r="H396" s="1">
        <f t="shared" si="6"/>
        <v>50130</v>
      </c>
      <c r="I396" t="s">
        <v>15</v>
      </c>
      <c r="J396" s="1">
        <v>41346</v>
      </c>
      <c r="K396" t="s">
        <v>22</v>
      </c>
      <c r="L396" s="3">
        <v>4.5999999999999999E-2</v>
      </c>
      <c r="M396" t="s">
        <v>17</v>
      </c>
      <c r="N396" t="s">
        <v>54</v>
      </c>
      <c r="O396">
        <v>5464563.2800000003</v>
      </c>
      <c r="P396" s="1">
        <v>46022</v>
      </c>
      <c r="R396" s="7"/>
      <c r="S396" s="7"/>
    </row>
    <row r="397" spans="1:19" x14ac:dyDescent="0.3">
      <c r="A397" t="s">
        <v>445</v>
      </c>
      <c r="B397" t="s">
        <v>24</v>
      </c>
      <c r="C397" t="s">
        <v>41</v>
      </c>
      <c r="D397" s="5">
        <v>19722</v>
      </c>
      <c r="E397">
        <v>5034.55</v>
      </c>
      <c r="F397" t="s">
        <v>14</v>
      </c>
      <c r="G397">
        <v>120</v>
      </c>
      <c r="H397" s="1">
        <f t="shared" si="6"/>
        <v>48760</v>
      </c>
      <c r="I397" t="s">
        <v>15</v>
      </c>
      <c r="J397" s="1">
        <v>45082</v>
      </c>
      <c r="K397" t="s">
        <v>39</v>
      </c>
      <c r="L397" s="3">
        <v>9.8599999999999993E-2</v>
      </c>
      <c r="M397" t="s">
        <v>17</v>
      </c>
      <c r="N397" t="s">
        <v>42</v>
      </c>
      <c r="O397">
        <v>24425.41</v>
      </c>
      <c r="P397" s="1">
        <v>46022</v>
      </c>
      <c r="R397" s="7"/>
      <c r="S397" s="7"/>
    </row>
    <row r="398" spans="1:19" x14ac:dyDescent="0.3">
      <c r="A398" t="s">
        <v>446</v>
      </c>
      <c r="B398" t="s">
        <v>24</v>
      </c>
      <c r="C398" t="s">
        <v>41</v>
      </c>
      <c r="D398" s="5">
        <v>40497</v>
      </c>
      <c r="E398">
        <v>24751.11</v>
      </c>
      <c r="F398" t="s">
        <v>14</v>
      </c>
      <c r="G398">
        <v>60</v>
      </c>
      <c r="H398" s="1">
        <f t="shared" si="6"/>
        <v>46507</v>
      </c>
      <c r="I398" t="s">
        <v>15</v>
      </c>
      <c r="J398" s="1">
        <v>44679</v>
      </c>
      <c r="K398" t="s">
        <v>22</v>
      </c>
      <c r="L398" s="3">
        <v>5.0799999999999998E-2</v>
      </c>
      <c r="M398" t="s">
        <v>17</v>
      </c>
      <c r="N398" t="s">
        <v>42</v>
      </c>
      <c r="O398">
        <v>50290.57</v>
      </c>
      <c r="P398" s="1">
        <v>46022</v>
      </c>
      <c r="R398" s="7"/>
      <c r="S398" s="7"/>
    </row>
    <row r="399" spans="1:19" x14ac:dyDescent="0.3">
      <c r="A399" t="s">
        <v>447</v>
      </c>
      <c r="B399" t="s">
        <v>20</v>
      </c>
      <c r="C399" t="s">
        <v>47</v>
      </c>
      <c r="D399" s="5">
        <v>4022799</v>
      </c>
      <c r="E399">
        <v>1475248.34</v>
      </c>
      <c r="F399" t="s">
        <v>33</v>
      </c>
      <c r="G399">
        <v>60</v>
      </c>
      <c r="H399" s="1">
        <f t="shared" si="6"/>
        <v>46112</v>
      </c>
      <c r="I399" t="s">
        <v>15</v>
      </c>
      <c r="J399" s="1">
        <v>44285</v>
      </c>
      <c r="K399" t="s">
        <v>22</v>
      </c>
      <c r="L399" s="3">
        <v>4.3299999999999998E-2</v>
      </c>
      <c r="M399" t="s">
        <v>17</v>
      </c>
      <c r="N399" t="s">
        <v>54</v>
      </c>
      <c r="O399">
        <v>7710292.71</v>
      </c>
      <c r="P399" s="1">
        <v>46022</v>
      </c>
      <c r="R399" s="7"/>
      <c r="S399" s="7"/>
    </row>
    <row r="400" spans="1:19" x14ac:dyDescent="0.3">
      <c r="A400" t="s">
        <v>448</v>
      </c>
      <c r="B400" t="s">
        <v>20</v>
      </c>
      <c r="C400" t="s">
        <v>21</v>
      </c>
      <c r="D400" s="5">
        <v>2881641</v>
      </c>
      <c r="E400">
        <v>2721664.06</v>
      </c>
      <c r="F400" t="s">
        <v>33</v>
      </c>
      <c r="G400">
        <v>102</v>
      </c>
      <c r="H400" s="1">
        <f t="shared" si="6"/>
        <v>47664</v>
      </c>
      <c r="I400" t="s">
        <v>15</v>
      </c>
      <c r="J400" s="1">
        <v>44553</v>
      </c>
      <c r="K400" t="s">
        <v>39</v>
      </c>
      <c r="L400" s="3">
        <v>7.3499999999999996E-2</v>
      </c>
      <c r="M400" t="s">
        <v>17</v>
      </c>
      <c r="N400" t="s">
        <v>26</v>
      </c>
      <c r="O400">
        <v>4375740.17</v>
      </c>
      <c r="P400" s="1">
        <v>46022</v>
      </c>
      <c r="R400" s="7"/>
      <c r="S400" s="7"/>
    </row>
    <row r="401" spans="1:19" x14ac:dyDescent="0.3">
      <c r="A401" t="s">
        <v>449</v>
      </c>
      <c r="B401" t="s">
        <v>24</v>
      </c>
      <c r="C401" t="s">
        <v>41</v>
      </c>
      <c r="D401" s="5">
        <v>56140</v>
      </c>
      <c r="E401">
        <v>46981.75</v>
      </c>
      <c r="F401" t="s">
        <v>14</v>
      </c>
      <c r="G401">
        <v>354</v>
      </c>
      <c r="H401" s="1">
        <f t="shared" si="6"/>
        <v>53935</v>
      </c>
      <c r="I401" t="s">
        <v>15</v>
      </c>
      <c r="J401" s="1">
        <v>43140</v>
      </c>
      <c r="K401" t="s">
        <v>35</v>
      </c>
      <c r="L401" s="3">
        <v>4.4800000000000006E-2</v>
      </c>
      <c r="M401" t="s">
        <v>17</v>
      </c>
      <c r="N401" t="s">
        <v>42</v>
      </c>
      <c r="O401">
        <v>62199.82</v>
      </c>
      <c r="P401" s="1">
        <v>46022</v>
      </c>
      <c r="R401" s="7"/>
      <c r="S401" s="7"/>
    </row>
    <row r="402" spans="1:19" x14ac:dyDescent="0.3">
      <c r="A402" t="s">
        <v>450</v>
      </c>
      <c r="B402" t="s">
        <v>37</v>
      </c>
      <c r="C402" t="s">
        <v>144</v>
      </c>
      <c r="D402" s="5">
        <v>153809523</v>
      </c>
      <c r="E402">
        <v>151534755.30000001</v>
      </c>
      <c r="F402" t="s">
        <v>14</v>
      </c>
      <c r="G402">
        <v>60</v>
      </c>
      <c r="H402" s="1">
        <f t="shared" si="6"/>
        <v>46507</v>
      </c>
      <c r="I402" t="s">
        <v>15</v>
      </c>
      <c r="J402" s="1">
        <v>44678</v>
      </c>
      <c r="K402" t="s">
        <v>22</v>
      </c>
      <c r="L402" s="3">
        <v>5.1699999999999996E-2</v>
      </c>
      <c r="M402" t="s">
        <v>17</v>
      </c>
      <c r="N402" t="s">
        <v>18</v>
      </c>
      <c r="O402">
        <v>261312734.80000001</v>
      </c>
      <c r="P402" s="1">
        <v>46022</v>
      </c>
      <c r="R402" s="7"/>
      <c r="S402" s="7"/>
    </row>
    <row r="403" spans="1:19" x14ac:dyDescent="0.3">
      <c r="A403" t="s">
        <v>451</v>
      </c>
      <c r="B403" t="s">
        <v>24</v>
      </c>
      <c r="C403" t="s">
        <v>32</v>
      </c>
      <c r="D403" s="5">
        <v>46656</v>
      </c>
      <c r="E403">
        <v>15569.26</v>
      </c>
      <c r="F403" t="s">
        <v>33</v>
      </c>
      <c r="G403">
        <v>318</v>
      </c>
      <c r="H403" s="1">
        <f t="shared" si="6"/>
        <v>53082</v>
      </c>
      <c r="I403" t="s">
        <v>15</v>
      </c>
      <c r="J403" s="1">
        <v>43385</v>
      </c>
      <c r="K403" t="s">
        <v>22</v>
      </c>
      <c r="L403" s="3">
        <v>5.7200000000000001E-2</v>
      </c>
      <c r="M403" t="s">
        <v>29</v>
      </c>
      <c r="N403" t="s">
        <v>30</v>
      </c>
      <c r="O403">
        <v>0</v>
      </c>
      <c r="P403" s="1">
        <v>46022</v>
      </c>
      <c r="R403" s="7"/>
      <c r="S403" s="7"/>
    </row>
    <row r="404" spans="1:19" x14ac:dyDescent="0.3">
      <c r="A404" t="s">
        <v>452</v>
      </c>
      <c r="B404" t="s">
        <v>20</v>
      </c>
      <c r="C404" t="s">
        <v>89</v>
      </c>
      <c r="D404" s="5">
        <v>2015224</v>
      </c>
      <c r="E404">
        <v>1960312.14</v>
      </c>
      <c r="F404" t="s">
        <v>33</v>
      </c>
      <c r="G404">
        <v>312</v>
      </c>
      <c r="H404" s="1">
        <f t="shared" si="6"/>
        <v>50313</v>
      </c>
      <c r="I404" t="s">
        <v>15</v>
      </c>
      <c r="J404" s="1">
        <v>40802</v>
      </c>
      <c r="K404" t="s">
        <v>22</v>
      </c>
      <c r="L404" s="3">
        <v>5.1100000000000007E-2</v>
      </c>
      <c r="M404" t="s">
        <v>17</v>
      </c>
      <c r="N404" t="s">
        <v>26</v>
      </c>
      <c r="O404">
        <v>3279762.61</v>
      </c>
      <c r="P404" s="1">
        <v>46022</v>
      </c>
      <c r="R404" s="7"/>
      <c r="S404" s="7"/>
    </row>
    <row r="405" spans="1:19" x14ac:dyDescent="0.3">
      <c r="A405" t="s">
        <v>453</v>
      </c>
      <c r="B405" t="s">
        <v>12</v>
      </c>
      <c r="C405" t="s">
        <v>26</v>
      </c>
      <c r="D405" s="5">
        <v>5267546</v>
      </c>
      <c r="E405">
        <v>2571144.21</v>
      </c>
      <c r="F405" t="s">
        <v>33</v>
      </c>
      <c r="G405">
        <v>270</v>
      </c>
      <c r="H405" s="1">
        <f t="shared" si="6"/>
        <v>51744</v>
      </c>
      <c r="I405" t="s">
        <v>15</v>
      </c>
      <c r="J405" s="1">
        <v>43523</v>
      </c>
      <c r="K405" t="s">
        <v>39</v>
      </c>
      <c r="L405" s="3">
        <v>6.6600000000000006E-2</v>
      </c>
      <c r="M405" t="s">
        <v>17</v>
      </c>
      <c r="N405" t="s">
        <v>54</v>
      </c>
      <c r="O405">
        <v>8557612.8599999994</v>
      </c>
      <c r="P405" s="1">
        <v>46022</v>
      </c>
      <c r="R405" s="7"/>
      <c r="S405" s="7"/>
    </row>
    <row r="406" spans="1:19" x14ac:dyDescent="0.3">
      <c r="A406" t="s">
        <v>454</v>
      </c>
      <c r="B406" t="s">
        <v>24</v>
      </c>
      <c r="C406" t="s">
        <v>25</v>
      </c>
      <c r="D406" s="5">
        <v>655360</v>
      </c>
      <c r="E406">
        <v>270510.87</v>
      </c>
      <c r="F406" t="s">
        <v>14</v>
      </c>
      <c r="G406">
        <v>180</v>
      </c>
      <c r="H406" s="1">
        <f t="shared" si="6"/>
        <v>48822</v>
      </c>
      <c r="I406" t="s">
        <v>15</v>
      </c>
      <c r="J406" s="1">
        <v>43327</v>
      </c>
      <c r="K406" t="s">
        <v>16</v>
      </c>
      <c r="L406" s="3">
        <v>9.74E-2</v>
      </c>
      <c r="M406" t="s">
        <v>17</v>
      </c>
      <c r="N406" t="s">
        <v>26</v>
      </c>
      <c r="O406">
        <v>875746.07</v>
      </c>
      <c r="P406" s="1">
        <v>46022</v>
      </c>
      <c r="R406" s="7"/>
      <c r="S406" s="7"/>
    </row>
    <row r="407" spans="1:19" x14ac:dyDescent="0.3">
      <c r="A407" t="s">
        <v>455</v>
      </c>
      <c r="B407" t="s">
        <v>24</v>
      </c>
      <c r="C407" t="s">
        <v>25</v>
      </c>
      <c r="D407" s="5">
        <v>202455</v>
      </c>
      <c r="E407" s="4">
        <v>29419.599999999999</v>
      </c>
      <c r="F407" t="s">
        <v>14</v>
      </c>
      <c r="G407">
        <v>246</v>
      </c>
      <c r="H407" s="1">
        <f t="shared" si="6"/>
        <v>50890</v>
      </c>
      <c r="I407" t="s">
        <v>15</v>
      </c>
      <c r="J407" s="1">
        <v>43398</v>
      </c>
      <c r="K407" t="s">
        <v>101</v>
      </c>
      <c r="L407" s="3">
        <v>0.1472</v>
      </c>
      <c r="M407" t="s">
        <v>17</v>
      </c>
      <c r="N407" t="s">
        <v>26</v>
      </c>
      <c r="O407">
        <v>258341.45</v>
      </c>
      <c r="P407" s="1">
        <v>46022</v>
      </c>
      <c r="R407" s="7"/>
      <c r="S407" s="7"/>
    </row>
    <row r="408" spans="1:19" x14ac:dyDescent="0.3">
      <c r="A408" t="s">
        <v>456</v>
      </c>
      <c r="B408" t="s">
        <v>24</v>
      </c>
      <c r="C408" t="s">
        <v>32</v>
      </c>
      <c r="D408" s="5">
        <v>17916</v>
      </c>
      <c r="E408">
        <v>2642.4</v>
      </c>
      <c r="F408" t="s">
        <v>33</v>
      </c>
      <c r="G408">
        <v>282</v>
      </c>
      <c r="H408" s="1">
        <f t="shared" si="6"/>
        <v>51226</v>
      </c>
      <c r="I408" t="s">
        <v>15</v>
      </c>
      <c r="J408" s="1">
        <v>42622</v>
      </c>
      <c r="K408" t="s">
        <v>39</v>
      </c>
      <c r="L408" s="3">
        <v>6.4399999999999999E-2</v>
      </c>
      <c r="M408" t="s">
        <v>29</v>
      </c>
      <c r="N408" t="s">
        <v>30</v>
      </c>
      <c r="O408">
        <v>0</v>
      </c>
      <c r="P408" s="1">
        <v>46022</v>
      </c>
      <c r="R408" s="7"/>
      <c r="S408" s="7"/>
    </row>
    <row r="409" spans="1:19" x14ac:dyDescent="0.3">
      <c r="A409" t="s">
        <v>457</v>
      </c>
      <c r="B409" t="s">
        <v>24</v>
      </c>
      <c r="C409" t="s">
        <v>41</v>
      </c>
      <c r="D409" s="5">
        <v>55667</v>
      </c>
      <c r="E409">
        <v>40236.720000000001</v>
      </c>
      <c r="F409" t="s">
        <v>14</v>
      </c>
      <c r="G409">
        <v>180</v>
      </c>
      <c r="H409" s="1">
        <f t="shared" si="6"/>
        <v>48518</v>
      </c>
      <c r="I409" t="s">
        <v>15</v>
      </c>
      <c r="J409" s="1">
        <v>43018</v>
      </c>
      <c r="K409" t="s">
        <v>22</v>
      </c>
      <c r="L409" s="3">
        <v>5.1500000000000004E-2</v>
      </c>
      <c r="M409" t="s">
        <v>17</v>
      </c>
      <c r="N409" t="s">
        <v>42</v>
      </c>
      <c r="O409">
        <v>57255.49</v>
      </c>
      <c r="P409" s="1">
        <v>46022</v>
      </c>
      <c r="R409" s="7"/>
      <c r="S409" s="7"/>
    </row>
    <row r="410" spans="1:19" x14ac:dyDescent="0.3">
      <c r="A410" t="s">
        <v>458</v>
      </c>
      <c r="B410" t="s">
        <v>24</v>
      </c>
      <c r="C410" t="s">
        <v>32</v>
      </c>
      <c r="D410" s="5">
        <v>43837</v>
      </c>
      <c r="E410">
        <v>22450.46</v>
      </c>
      <c r="F410" t="s">
        <v>33</v>
      </c>
      <c r="G410">
        <v>276</v>
      </c>
      <c r="H410" s="1">
        <f t="shared" si="6"/>
        <v>50982</v>
      </c>
      <c r="I410" t="s">
        <v>15</v>
      </c>
      <c r="J410" s="1">
        <v>42579</v>
      </c>
      <c r="K410" t="s">
        <v>35</v>
      </c>
      <c r="L410" s="3">
        <v>3.4099999999999998E-2</v>
      </c>
      <c r="M410" t="s">
        <v>29</v>
      </c>
      <c r="N410" t="s">
        <v>30</v>
      </c>
      <c r="O410">
        <v>0</v>
      </c>
      <c r="P410" s="1">
        <v>46022</v>
      </c>
      <c r="R410" s="7"/>
      <c r="S410" s="7"/>
    </row>
    <row r="411" spans="1:19" x14ac:dyDescent="0.3">
      <c r="A411" t="s">
        <v>459</v>
      </c>
      <c r="B411" t="s">
        <v>20</v>
      </c>
      <c r="C411" t="s">
        <v>47</v>
      </c>
      <c r="D411" s="5">
        <v>2493056</v>
      </c>
      <c r="E411">
        <v>757563.46</v>
      </c>
      <c r="F411" t="s">
        <v>48</v>
      </c>
      <c r="G411">
        <v>330</v>
      </c>
      <c r="H411" s="1">
        <f t="shared" si="6"/>
        <v>50617</v>
      </c>
      <c r="I411" t="s">
        <v>15</v>
      </c>
      <c r="J411" s="1">
        <v>40555</v>
      </c>
      <c r="K411" t="s">
        <v>22</v>
      </c>
      <c r="L411" s="3">
        <v>5.9500000000000004E-2</v>
      </c>
      <c r="M411" t="s">
        <v>29</v>
      </c>
      <c r="N411" t="s">
        <v>30</v>
      </c>
      <c r="O411">
        <v>0</v>
      </c>
      <c r="P411" s="1">
        <v>46022</v>
      </c>
      <c r="R411" s="7"/>
      <c r="S411" s="7"/>
    </row>
    <row r="412" spans="1:19" x14ac:dyDescent="0.3">
      <c r="A412" t="s">
        <v>460</v>
      </c>
      <c r="B412" t="s">
        <v>12</v>
      </c>
      <c r="C412" t="s">
        <v>13</v>
      </c>
      <c r="D412" s="5">
        <v>35410680</v>
      </c>
      <c r="E412">
        <v>23108063.140000001</v>
      </c>
      <c r="F412" t="s">
        <v>33</v>
      </c>
      <c r="G412">
        <v>66</v>
      </c>
      <c r="H412" s="1">
        <f t="shared" si="6"/>
        <v>46326</v>
      </c>
      <c r="I412" t="s">
        <v>15</v>
      </c>
      <c r="J412" s="1">
        <v>44309</v>
      </c>
      <c r="K412" t="s">
        <v>22</v>
      </c>
      <c r="L412" s="3">
        <v>3.6600000000000001E-2</v>
      </c>
      <c r="M412" t="s">
        <v>17</v>
      </c>
      <c r="N412" t="s">
        <v>54</v>
      </c>
      <c r="O412">
        <v>48006926.079999998</v>
      </c>
      <c r="P412" s="1">
        <v>46022</v>
      </c>
      <c r="R412" s="7"/>
      <c r="S412" s="7"/>
    </row>
    <row r="413" spans="1:19" x14ac:dyDescent="0.3">
      <c r="A413" t="s">
        <v>461</v>
      </c>
      <c r="B413" t="s">
        <v>24</v>
      </c>
      <c r="C413" t="s">
        <v>28</v>
      </c>
      <c r="D413" s="5">
        <v>49648</v>
      </c>
      <c r="E413">
        <v>16263.32</v>
      </c>
      <c r="F413" t="s">
        <v>33</v>
      </c>
      <c r="G413">
        <v>144</v>
      </c>
      <c r="H413" s="1">
        <f t="shared" si="6"/>
        <v>45747</v>
      </c>
      <c r="I413" t="s">
        <v>15</v>
      </c>
      <c r="J413" s="1">
        <v>41361</v>
      </c>
      <c r="K413" t="s">
        <v>22</v>
      </c>
      <c r="L413" s="3">
        <v>4.82E-2</v>
      </c>
      <c r="M413" t="s">
        <v>29</v>
      </c>
      <c r="N413" t="s">
        <v>30</v>
      </c>
      <c r="O413">
        <v>0</v>
      </c>
      <c r="P413" s="1">
        <v>46022</v>
      </c>
      <c r="R413" s="7"/>
      <c r="S413" s="7"/>
    </row>
    <row r="414" spans="1:19" x14ac:dyDescent="0.3">
      <c r="A414" t="s">
        <v>462</v>
      </c>
      <c r="B414" t="s">
        <v>37</v>
      </c>
      <c r="C414" t="s">
        <v>92</v>
      </c>
      <c r="D414" s="5">
        <v>74429669</v>
      </c>
      <c r="E414">
        <v>46136613</v>
      </c>
      <c r="F414" t="s">
        <v>33</v>
      </c>
      <c r="G414">
        <v>132</v>
      </c>
      <c r="H414" s="1">
        <f t="shared" si="6"/>
        <v>49095</v>
      </c>
      <c r="I414" t="s">
        <v>15</v>
      </c>
      <c r="J414" s="1">
        <v>45061</v>
      </c>
      <c r="K414" t="s">
        <v>16</v>
      </c>
      <c r="L414" s="3">
        <v>0.1195</v>
      </c>
      <c r="M414" t="s">
        <v>17</v>
      </c>
      <c r="N414" t="s">
        <v>54</v>
      </c>
      <c r="O414">
        <v>136744650.90000001</v>
      </c>
      <c r="P414" s="1">
        <v>46022</v>
      </c>
      <c r="R414" s="7"/>
      <c r="S414" s="7"/>
    </row>
    <row r="415" spans="1:19" x14ac:dyDescent="0.3">
      <c r="A415" t="s">
        <v>463</v>
      </c>
      <c r="B415" t="s">
        <v>24</v>
      </c>
      <c r="C415" t="s">
        <v>28</v>
      </c>
      <c r="D415" s="5">
        <v>14462</v>
      </c>
      <c r="E415">
        <v>6121.52</v>
      </c>
      <c r="F415" t="s">
        <v>14</v>
      </c>
      <c r="G415">
        <v>264</v>
      </c>
      <c r="H415" s="1">
        <f t="shared" si="6"/>
        <v>48913</v>
      </c>
      <c r="I415" t="s">
        <v>15</v>
      </c>
      <c r="J415" s="1">
        <v>40869</v>
      </c>
      <c r="K415" t="s">
        <v>22</v>
      </c>
      <c r="L415" s="3">
        <v>5.1100000000000007E-2</v>
      </c>
      <c r="M415" t="s">
        <v>29</v>
      </c>
      <c r="N415" t="s">
        <v>30</v>
      </c>
      <c r="O415">
        <v>0</v>
      </c>
      <c r="P415" s="1">
        <v>46022</v>
      </c>
      <c r="R415" s="7"/>
      <c r="S415" s="7"/>
    </row>
    <row r="416" spans="1:19" x14ac:dyDescent="0.3">
      <c r="A416" t="s">
        <v>464</v>
      </c>
      <c r="B416" t="s">
        <v>24</v>
      </c>
      <c r="C416" t="s">
        <v>25</v>
      </c>
      <c r="D416" s="5">
        <v>455118</v>
      </c>
      <c r="E416">
        <v>382844.29</v>
      </c>
      <c r="F416" t="s">
        <v>14</v>
      </c>
      <c r="G416">
        <v>270</v>
      </c>
      <c r="H416" s="1">
        <f t="shared" si="6"/>
        <v>49399</v>
      </c>
      <c r="I416" t="s">
        <v>15</v>
      </c>
      <c r="J416" s="1">
        <v>41169</v>
      </c>
      <c r="K416" t="s">
        <v>22</v>
      </c>
      <c r="L416" s="3">
        <v>4.36E-2</v>
      </c>
      <c r="M416" t="s">
        <v>17</v>
      </c>
      <c r="N416" t="s">
        <v>26</v>
      </c>
      <c r="O416">
        <v>552330.74</v>
      </c>
      <c r="P416" s="1">
        <v>46022</v>
      </c>
      <c r="R416" s="7"/>
      <c r="S416" s="7"/>
    </row>
    <row r="417" spans="1:19" x14ac:dyDescent="0.3">
      <c r="A417" t="s">
        <v>465</v>
      </c>
      <c r="B417" t="s">
        <v>24</v>
      </c>
      <c r="C417" t="s">
        <v>32</v>
      </c>
      <c r="D417" s="5">
        <v>21670</v>
      </c>
      <c r="E417">
        <v>18172.689999999999</v>
      </c>
      <c r="F417" t="s">
        <v>33</v>
      </c>
      <c r="G417">
        <v>156</v>
      </c>
      <c r="H417" s="1">
        <f t="shared" si="6"/>
        <v>45900</v>
      </c>
      <c r="I417" t="s">
        <v>15</v>
      </c>
      <c r="J417" s="1">
        <v>41148</v>
      </c>
      <c r="K417" t="s">
        <v>22</v>
      </c>
      <c r="L417" s="3">
        <v>4.4600000000000001E-2</v>
      </c>
      <c r="M417" t="s">
        <v>29</v>
      </c>
      <c r="N417" t="s">
        <v>30</v>
      </c>
      <c r="O417">
        <v>0</v>
      </c>
      <c r="P417" s="1">
        <v>46022</v>
      </c>
      <c r="R417" s="7"/>
      <c r="S417" s="7"/>
    </row>
    <row r="418" spans="1:19" x14ac:dyDescent="0.3">
      <c r="A418" t="s">
        <v>466</v>
      </c>
      <c r="B418" t="s">
        <v>24</v>
      </c>
      <c r="C418" t="s">
        <v>25</v>
      </c>
      <c r="D418" s="5">
        <v>469919</v>
      </c>
      <c r="E418">
        <v>248876.3</v>
      </c>
      <c r="F418" t="s">
        <v>14</v>
      </c>
      <c r="G418">
        <v>78</v>
      </c>
      <c r="H418" s="1">
        <f t="shared" si="6"/>
        <v>47330</v>
      </c>
      <c r="I418" t="s">
        <v>15</v>
      </c>
      <c r="J418" s="1">
        <v>44936</v>
      </c>
      <c r="K418" t="s">
        <v>39</v>
      </c>
      <c r="L418" s="3">
        <v>9.5899999999999999E-2</v>
      </c>
      <c r="M418" t="s">
        <v>17</v>
      </c>
      <c r="N418" t="s">
        <v>26</v>
      </c>
      <c r="O418">
        <v>566363.01</v>
      </c>
      <c r="P418" s="1">
        <v>46022</v>
      </c>
      <c r="R418" s="7"/>
      <c r="S418" s="7"/>
    </row>
    <row r="419" spans="1:19" x14ac:dyDescent="0.3">
      <c r="A419" t="s">
        <v>467</v>
      </c>
      <c r="B419" t="s">
        <v>12</v>
      </c>
      <c r="C419" t="s">
        <v>63</v>
      </c>
      <c r="D419" s="5">
        <v>45472939</v>
      </c>
      <c r="E419">
        <v>18904792.32</v>
      </c>
      <c r="F419" t="s">
        <v>48</v>
      </c>
      <c r="G419">
        <v>60</v>
      </c>
      <c r="H419" s="1">
        <f t="shared" si="6"/>
        <v>45260</v>
      </c>
      <c r="I419" t="s">
        <v>15</v>
      </c>
      <c r="J419" s="1">
        <v>43410</v>
      </c>
      <c r="K419" t="s">
        <v>39</v>
      </c>
      <c r="L419" s="3">
        <v>7.0400000000000004E-2</v>
      </c>
      <c r="M419" t="s">
        <v>17</v>
      </c>
      <c r="N419" t="s">
        <v>54</v>
      </c>
      <c r="O419">
        <v>55984664.149999999</v>
      </c>
      <c r="P419" s="1">
        <v>46022</v>
      </c>
      <c r="R419" s="7"/>
      <c r="S419" s="7"/>
    </row>
    <row r="420" spans="1:19" x14ac:dyDescent="0.3">
      <c r="A420" t="s">
        <v>468</v>
      </c>
      <c r="B420" t="s">
        <v>24</v>
      </c>
      <c r="C420" t="s">
        <v>28</v>
      </c>
      <c r="D420" s="5">
        <v>35988</v>
      </c>
      <c r="E420">
        <v>15341.65</v>
      </c>
      <c r="F420" t="s">
        <v>33</v>
      </c>
      <c r="G420">
        <v>144</v>
      </c>
      <c r="H420" s="1">
        <f t="shared" si="6"/>
        <v>45077</v>
      </c>
      <c r="I420" t="s">
        <v>15</v>
      </c>
      <c r="J420" s="1">
        <v>40681</v>
      </c>
      <c r="K420" t="s">
        <v>39</v>
      </c>
      <c r="L420" s="3">
        <v>7.6700000000000004E-2</v>
      </c>
      <c r="M420" t="s">
        <v>29</v>
      </c>
      <c r="N420" t="s">
        <v>30</v>
      </c>
      <c r="O420">
        <v>0</v>
      </c>
      <c r="P420" s="1">
        <v>46022</v>
      </c>
      <c r="R420" s="7"/>
      <c r="S420" s="7"/>
    </row>
    <row r="421" spans="1:19" x14ac:dyDescent="0.3">
      <c r="A421" t="s">
        <v>469</v>
      </c>
      <c r="B421" t="s">
        <v>20</v>
      </c>
      <c r="C421" t="s">
        <v>47</v>
      </c>
      <c r="D421" s="5">
        <v>3059131</v>
      </c>
      <c r="E421">
        <v>2524220.6</v>
      </c>
      <c r="F421" t="s">
        <v>33</v>
      </c>
      <c r="G421">
        <v>60</v>
      </c>
      <c r="H421" s="1">
        <f t="shared" si="6"/>
        <v>47299</v>
      </c>
      <c r="I421" t="s">
        <v>15</v>
      </c>
      <c r="J421" s="1">
        <v>45454</v>
      </c>
      <c r="K421" t="s">
        <v>22</v>
      </c>
      <c r="L421" s="3">
        <v>6.5700000000000008E-2</v>
      </c>
      <c r="M421" t="s">
        <v>29</v>
      </c>
      <c r="N421" t="s">
        <v>30</v>
      </c>
      <c r="O421">
        <v>0</v>
      </c>
      <c r="P421" s="1">
        <v>46022</v>
      </c>
      <c r="R421" s="7"/>
      <c r="S421" s="7"/>
    </row>
    <row r="422" spans="1:19" x14ac:dyDescent="0.3">
      <c r="A422" t="s">
        <v>470</v>
      </c>
      <c r="B422" t="s">
        <v>24</v>
      </c>
      <c r="C422" t="s">
        <v>28</v>
      </c>
      <c r="D422" s="5">
        <v>16159</v>
      </c>
      <c r="E422">
        <v>6388.75</v>
      </c>
      <c r="F422" t="s">
        <v>48</v>
      </c>
      <c r="G422">
        <v>210</v>
      </c>
      <c r="H422" s="1">
        <f t="shared" si="6"/>
        <v>51986</v>
      </c>
      <c r="I422" t="s">
        <v>15</v>
      </c>
      <c r="J422" s="1">
        <v>45576</v>
      </c>
      <c r="K422" t="s">
        <v>39</v>
      </c>
      <c r="L422" s="3">
        <v>8.6199999999999999E-2</v>
      </c>
      <c r="M422" t="s">
        <v>29</v>
      </c>
      <c r="N422" t="s">
        <v>30</v>
      </c>
      <c r="O422">
        <v>0</v>
      </c>
      <c r="P422" s="1">
        <v>46022</v>
      </c>
      <c r="R422" s="7"/>
      <c r="S422" s="7"/>
    </row>
    <row r="423" spans="1:19" x14ac:dyDescent="0.3">
      <c r="A423" t="s">
        <v>471</v>
      </c>
      <c r="B423" t="s">
        <v>24</v>
      </c>
      <c r="C423" t="s">
        <v>41</v>
      </c>
      <c r="D423" s="5">
        <v>84141</v>
      </c>
      <c r="E423">
        <v>24245.56</v>
      </c>
      <c r="F423" t="s">
        <v>14</v>
      </c>
      <c r="G423">
        <v>144</v>
      </c>
      <c r="H423" s="1">
        <f t="shared" si="6"/>
        <v>45808</v>
      </c>
      <c r="I423" t="s">
        <v>15</v>
      </c>
      <c r="J423" s="1">
        <v>41409</v>
      </c>
      <c r="K423" t="s">
        <v>56</v>
      </c>
      <c r="L423" s="3">
        <v>3.4000000000000002E-2</v>
      </c>
      <c r="M423" t="s">
        <v>17</v>
      </c>
      <c r="N423" t="s">
        <v>42</v>
      </c>
      <c r="O423">
        <v>88599.52</v>
      </c>
      <c r="P423" s="1">
        <v>46022</v>
      </c>
      <c r="R423" s="7"/>
      <c r="S423" s="7"/>
    </row>
    <row r="424" spans="1:19" x14ac:dyDescent="0.3">
      <c r="A424" t="s">
        <v>472</v>
      </c>
      <c r="B424" t="s">
        <v>24</v>
      </c>
      <c r="C424" t="s">
        <v>41</v>
      </c>
      <c r="D424" s="5">
        <v>95955</v>
      </c>
      <c r="E424">
        <v>16909.22</v>
      </c>
      <c r="F424" t="s">
        <v>14</v>
      </c>
      <c r="G424">
        <v>168</v>
      </c>
      <c r="H424" s="1">
        <f t="shared" si="6"/>
        <v>48091</v>
      </c>
      <c r="I424" t="s">
        <v>15</v>
      </c>
      <c r="J424" s="1">
        <v>42971</v>
      </c>
      <c r="K424" t="s">
        <v>16</v>
      </c>
      <c r="L424" s="3">
        <v>9.0700000000000003E-2</v>
      </c>
      <c r="M424" t="s">
        <v>17</v>
      </c>
      <c r="N424" t="s">
        <v>42</v>
      </c>
      <c r="O424">
        <v>100819.08</v>
      </c>
      <c r="P424" s="1">
        <v>46022</v>
      </c>
      <c r="R424" s="7"/>
      <c r="S424" s="7"/>
    </row>
    <row r="425" spans="1:19" x14ac:dyDescent="0.3">
      <c r="A425" t="s">
        <v>473</v>
      </c>
      <c r="B425" t="s">
        <v>24</v>
      </c>
      <c r="C425" t="s">
        <v>41</v>
      </c>
      <c r="D425" s="5">
        <v>83908</v>
      </c>
      <c r="E425">
        <v>43634.080000000002</v>
      </c>
      <c r="F425" t="s">
        <v>14</v>
      </c>
      <c r="G425">
        <v>216</v>
      </c>
      <c r="H425" s="1">
        <f t="shared" si="6"/>
        <v>49948</v>
      </c>
      <c r="I425" t="s">
        <v>15</v>
      </c>
      <c r="J425" s="1">
        <v>43364</v>
      </c>
      <c r="K425" t="s">
        <v>22</v>
      </c>
      <c r="L425" s="3">
        <v>4.9800000000000004E-2</v>
      </c>
      <c r="M425" t="s">
        <v>17</v>
      </c>
      <c r="N425" t="s">
        <v>42</v>
      </c>
      <c r="O425">
        <v>84702.17</v>
      </c>
      <c r="P425" s="1">
        <v>46022</v>
      </c>
      <c r="R425" s="7"/>
      <c r="S425" s="7"/>
    </row>
    <row r="426" spans="1:19" x14ac:dyDescent="0.3">
      <c r="A426" t="s">
        <v>474</v>
      </c>
      <c r="B426" t="s">
        <v>37</v>
      </c>
      <c r="C426" t="s">
        <v>38</v>
      </c>
      <c r="D426" s="5">
        <v>10766902</v>
      </c>
      <c r="E426">
        <v>5748652.1100000003</v>
      </c>
      <c r="F426" t="s">
        <v>33</v>
      </c>
      <c r="G426">
        <v>96</v>
      </c>
      <c r="H426" s="1">
        <f t="shared" si="6"/>
        <v>47756</v>
      </c>
      <c r="I426" t="s">
        <v>15</v>
      </c>
      <c r="J426" s="1">
        <v>44826</v>
      </c>
      <c r="K426" t="s">
        <v>22</v>
      </c>
      <c r="L426" s="3">
        <v>5.33E-2</v>
      </c>
      <c r="M426" t="s">
        <v>29</v>
      </c>
      <c r="N426" t="s">
        <v>30</v>
      </c>
      <c r="O426">
        <v>0</v>
      </c>
      <c r="P426" s="1">
        <v>46022</v>
      </c>
      <c r="R426" s="7"/>
      <c r="S426" s="7"/>
    </row>
    <row r="427" spans="1:19" x14ac:dyDescent="0.3">
      <c r="A427" t="s">
        <v>475</v>
      </c>
      <c r="B427" t="s">
        <v>37</v>
      </c>
      <c r="C427" t="s">
        <v>92</v>
      </c>
      <c r="D427" s="5">
        <v>321836671</v>
      </c>
      <c r="E427">
        <v>275755401.39999998</v>
      </c>
      <c r="F427" t="s">
        <v>14</v>
      </c>
      <c r="G427">
        <v>240</v>
      </c>
      <c r="H427" s="1">
        <f t="shared" si="6"/>
        <v>48273</v>
      </c>
      <c r="I427" t="s">
        <v>15</v>
      </c>
      <c r="J427" s="1">
        <v>40956</v>
      </c>
      <c r="K427" t="s">
        <v>22</v>
      </c>
      <c r="L427" s="3">
        <v>4.3499999999999997E-2</v>
      </c>
      <c r="M427" t="s">
        <v>17</v>
      </c>
      <c r="N427" t="s">
        <v>18</v>
      </c>
      <c r="O427">
        <v>521171633.30000001</v>
      </c>
      <c r="P427" s="1">
        <v>46022</v>
      </c>
      <c r="R427" s="7"/>
      <c r="S427" s="7"/>
    </row>
    <row r="428" spans="1:19" x14ac:dyDescent="0.3">
      <c r="A428" t="s">
        <v>476</v>
      </c>
      <c r="B428" t="s">
        <v>37</v>
      </c>
      <c r="C428" t="s">
        <v>78</v>
      </c>
      <c r="D428" s="5">
        <v>35056337</v>
      </c>
      <c r="E428">
        <v>10485870.140000001</v>
      </c>
      <c r="F428" t="s">
        <v>33</v>
      </c>
      <c r="G428">
        <v>96</v>
      </c>
      <c r="H428" s="1">
        <f t="shared" si="6"/>
        <v>45688</v>
      </c>
      <c r="I428" t="s">
        <v>15</v>
      </c>
      <c r="J428" s="1">
        <v>42741</v>
      </c>
      <c r="K428" t="s">
        <v>39</v>
      </c>
      <c r="L428" s="3">
        <v>6.6299999999999998E-2</v>
      </c>
      <c r="M428" t="s">
        <v>29</v>
      </c>
      <c r="N428" t="s">
        <v>30</v>
      </c>
      <c r="O428">
        <v>0</v>
      </c>
      <c r="P428" s="1">
        <v>46022</v>
      </c>
      <c r="R428" s="7"/>
      <c r="S428" s="7"/>
    </row>
    <row r="429" spans="1:19" x14ac:dyDescent="0.3">
      <c r="A429" t="s">
        <v>477</v>
      </c>
      <c r="B429" t="s">
        <v>24</v>
      </c>
      <c r="C429" t="s">
        <v>32</v>
      </c>
      <c r="D429" s="5">
        <v>13623</v>
      </c>
      <c r="E429">
        <v>6033.41</v>
      </c>
      <c r="F429" t="s">
        <v>33</v>
      </c>
      <c r="G429">
        <v>354</v>
      </c>
      <c r="H429" s="1">
        <f t="shared" si="6"/>
        <v>51409</v>
      </c>
      <c r="I429" t="s">
        <v>15</v>
      </c>
      <c r="J429" s="1">
        <v>40633</v>
      </c>
      <c r="K429" t="s">
        <v>81</v>
      </c>
      <c r="L429" s="3">
        <v>3.8199999999999998E-2</v>
      </c>
      <c r="M429" t="s">
        <v>29</v>
      </c>
      <c r="N429" t="s">
        <v>30</v>
      </c>
      <c r="O429">
        <v>0</v>
      </c>
      <c r="P429" s="1">
        <v>46022</v>
      </c>
      <c r="R429" s="7"/>
      <c r="S429" s="7"/>
    </row>
    <row r="430" spans="1:19" x14ac:dyDescent="0.3">
      <c r="A430" t="s">
        <v>478</v>
      </c>
      <c r="B430" t="s">
        <v>24</v>
      </c>
      <c r="C430" t="s">
        <v>32</v>
      </c>
      <c r="D430" s="5">
        <v>3917</v>
      </c>
      <c r="E430">
        <v>3241.33</v>
      </c>
      <c r="F430" t="s">
        <v>33</v>
      </c>
      <c r="G430">
        <v>102</v>
      </c>
      <c r="H430" s="1">
        <f t="shared" si="6"/>
        <v>47026</v>
      </c>
      <c r="I430" t="s">
        <v>15</v>
      </c>
      <c r="J430" s="1">
        <v>43920</v>
      </c>
      <c r="K430" t="s">
        <v>16</v>
      </c>
      <c r="L430" s="3">
        <v>7.9399999999999998E-2</v>
      </c>
      <c r="M430" t="s">
        <v>29</v>
      </c>
      <c r="N430" t="s">
        <v>30</v>
      </c>
      <c r="O430">
        <v>0</v>
      </c>
      <c r="P430" s="1">
        <v>46022</v>
      </c>
      <c r="R430" s="7"/>
      <c r="S430" s="7"/>
    </row>
    <row r="431" spans="1:19" x14ac:dyDescent="0.3">
      <c r="A431" t="s">
        <v>479</v>
      </c>
      <c r="B431" t="s">
        <v>20</v>
      </c>
      <c r="C431" t="s">
        <v>89</v>
      </c>
      <c r="D431" s="5">
        <v>3038787</v>
      </c>
      <c r="E431">
        <v>2556414.16</v>
      </c>
      <c r="F431" t="s">
        <v>14</v>
      </c>
      <c r="G431">
        <v>306</v>
      </c>
      <c r="H431" s="1">
        <f t="shared" si="6"/>
        <v>52656</v>
      </c>
      <c r="I431" t="s">
        <v>15</v>
      </c>
      <c r="J431" s="1">
        <v>43333</v>
      </c>
      <c r="K431" t="s">
        <v>22</v>
      </c>
      <c r="L431" s="3">
        <v>5.2300000000000006E-2</v>
      </c>
      <c r="M431" t="s">
        <v>17</v>
      </c>
      <c r="N431" t="s">
        <v>54</v>
      </c>
      <c r="O431">
        <v>4551370.6500000004</v>
      </c>
      <c r="P431" s="1">
        <v>46022</v>
      </c>
      <c r="R431" s="7"/>
      <c r="S431" s="7"/>
    </row>
    <row r="432" spans="1:19" x14ac:dyDescent="0.3">
      <c r="A432" t="s">
        <v>480</v>
      </c>
      <c r="B432" t="s">
        <v>24</v>
      </c>
      <c r="C432" t="s">
        <v>41</v>
      </c>
      <c r="D432" s="5">
        <v>71793</v>
      </c>
      <c r="E432">
        <v>32030.48</v>
      </c>
      <c r="F432" t="s">
        <v>14</v>
      </c>
      <c r="G432">
        <v>324</v>
      </c>
      <c r="H432" s="1">
        <f t="shared" si="6"/>
        <v>53661</v>
      </c>
      <c r="I432" t="s">
        <v>15</v>
      </c>
      <c r="J432" s="1">
        <v>43783</v>
      </c>
      <c r="K432" t="s">
        <v>22</v>
      </c>
      <c r="L432" s="3">
        <v>4.8499999999999995E-2</v>
      </c>
      <c r="M432" t="s">
        <v>17</v>
      </c>
      <c r="N432" t="s">
        <v>42</v>
      </c>
      <c r="O432">
        <v>87455.4</v>
      </c>
      <c r="P432" s="1">
        <v>46022</v>
      </c>
      <c r="R432" s="7"/>
      <c r="S432" s="7"/>
    </row>
    <row r="433" spans="1:19" x14ac:dyDescent="0.3">
      <c r="A433" t="s">
        <v>481</v>
      </c>
      <c r="B433" t="s">
        <v>24</v>
      </c>
      <c r="C433" t="s">
        <v>32</v>
      </c>
      <c r="D433" s="5">
        <v>6610</v>
      </c>
      <c r="E433">
        <v>3392.27</v>
      </c>
      <c r="F433" t="s">
        <v>33</v>
      </c>
      <c r="G433">
        <v>90</v>
      </c>
      <c r="H433" s="1">
        <f t="shared" si="6"/>
        <v>47726</v>
      </c>
      <c r="I433" t="s">
        <v>15</v>
      </c>
      <c r="J433" s="1">
        <v>44978</v>
      </c>
      <c r="K433" t="s">
        <v>35</v>
      </c>
      <c r="L433" s="3">
        <v>6.6500000000000004E-2</v>
      </c>
      <c r="M433" t="s">
        <v>29</v>
      </c>
      <c r="N433" t="s">
        <v>30</v>
      </c>
      <c r="O433">
        <v>0</v>
      </c>
      <c r="P433" s="1">
        <v>46022</v>
      </c>
      <c r="R433" s="7"/>
      <c r="S433" s="7"/>
    </row>
    <row r="434" spans="1:19" x14ac:dyDescent="0.3">
      <c r="A434" t="s">
        <v>482</v>
      </c>
      <c r="B434" t="s">
        <v>24</v>
      </c>
      <c r="C434" t="s">
        <v>32</v>
      </c>
      <c r="D434" s="5">
        <v>19808</v>
      </c>
      <c r="E434">
        <v>7387.58</v>
      </c>
      <c r="F434" t="s">
        <v>33</v>
      </c>
      <c r="G434">
        <v>96</v>
      </c>
      <c r="H434" s="1">
        <f t="shared" si="6"/>
        <v>46507</v>
      </c>
      <c r="I434" t="s">
        <v>15</v>
      </c>
      <c r="J434" s="1">
        <v>43583</v>
      </c>
      <c r="K434" t="s">
        <v>22</v>
      </c>
      <c r="L434" s="3">
        <v>5.8400000000000001E-2</v>
      </c>
      <c r="M434" t="s">
        <v>29</v>
      </c>
      <c r="N434" t="s">
        <v>30</v>
      </c>
      <c r="O434">
        <v>0</v>
      </c>
      <c r="P434" s="1">
        <v>46022</v>
      </c>
      <c r="R434" s="7"/>
      <c r="S434" s="7"/>
    </row>
    <row r="435" spans="1:19" x14ac:dyDescent="0.3">
      <c r="A435" t="s">
        <v>483</v>
      </c>
      <c r="B435" t="s">
        <v>24</v>
      </c>
      <c r="C435" t="s">
        <v>25</v>
      </c>
      <c r="D435" s="5">
        <v>510613</v>
      </c>
      <c r="E435">
        <v>479618.35</v>
      </c>
      <c r="F435" t="s">
        <v>14</v>
      </c>
      <c r="G435">
        <v>90</v>
      </c>
      <c r="H435" s="1">
        <f t="shared" si="6"/>
        <v>46265</v>
      </c>
      <c r="I435" t="s">
        <v>15</v>
      </c>
      <c r="J435" s="1">
        <v>43507</v>
      </c>
      <c r="K435" t="s">
        <v>22</v>
      </c>
      <c r="L435" s="3">
        <v>4.6500000000000007E-2</v>
      </c>
      <c r="M435" t="s">
        <v>17</v>
      </c>
      <c r="N435" t="s">
        <v>26</v>
      </c>
      <c r="O435">
        <v>644816.26</v>
      </c>
      <c r="P435" s="1">
        <v>46022</v>
      </c>
      <c r="R435" s="7"/>
      <c r="S435" s="7"/>
    </row>
    <row r="436" spans="1:19" x14ac:dyDescent="0.3">
      <c r="A436" t="s">
        <v>484</v>
      </c>
      <c r="B436" t="s">
        <v>24</v>
      </c>
      <c r="C436" t="s">
        <v>25</v>
      </c>
      <c r="D436" s="5">
        <v>432148</v>
      </c>
      <c r="E436">
        <v>89359.24</v>
      </c>
      <c r="F436" t="s">
        <v>14</v>
      </c>
      <c r="G436">
        <v>342</v>
      </c>
      <c r="H436" s="1">
        <f t="shared" si="6"/>
        <v>50982</v>
      </c>
      <c r="I436" t="s">
        <v>15</v>
      </c>
      <c r="J436" s="1">
        <v>40548</v>
      </c>
      <c r="K436" t="s">
        <v>22</v>
      </c>
      <c r="L436" s="3">
        <v>5.1100000000000007E-2</v>
      </c>
      <c r="M436" t="s">
        <v>17</v>
      </c>
      <c r="N436" t="s">
        <v>26</v>
      </c>
      <c r="O436">
        <v>533059.66</v>
      </c>
      <c r="P436" s="1">
        <v>46022</v>
      </c>
      <c r="R436" s="7"/>
      <c r="S436" s="7"/>
    </row>
    <row r="437" spans="1:19" x14ac:dyDescent="0.3">
      <c r="A437" t="s">
        <v>485</v>
      </c>
      <c r="B437" t="s">
        <v>24</v>
      </c>
      <c r="C437" t="s">
        <v>41</v>
      </c>
      <c r="D437" s="5">
        <v>20892</v>
      </c>
      <c r="E437">
        <v>19646.54</v>
      </c>
      <c r="F437" t="s">
        <v>14</v>
      </c>
      <c r="G437">
        <v>204</v>
      </c>
      <c r="H437" s="1">
        <f t="shared" si="6"/>
        <v>47514</v>
      </c>
      <c r="I437" t="s">
        <v>15</v>
      </c>
      <c r="J437" s="1">
        <v>41285</v>
      </c>
      <c r="K437" t="s">
        <v>39</v>
      </c>
      <c r="L437" s="3">
        <v>7.0000000000000007E-2</v>
      </c>
      <c r="M437" t="s">
        <v>17</v>
      </c>
      <c r="N437" t="s">
        <v>42</v>
      </c>
      <c r="O437">
        <v>21912.14</v>
      </c>
      <c r="P437" s="1">
        <v>46022</v>
      </c>
      <c r="R437" s="7"/>
      <c r="S437" s="7"/>
    </row>
    <row r="438" spans="1:19" x14ac:dyDescent="0.3">
      <c r="A438" t="s">
        <v>486</v>
      </c>
      <c r="B438" t="s">
        <v>37</v>
      </c>
      <c r="C438" t="s">
        <v>78</v>
      </c>
      <c r="D438" s="5">
        <v>215284417</v>
      </c>
      <c r="E438">
        <v>154031653.19999999</v>
      </c>
      <c r="F438" t="s">
        <v>14</v>
      </c>
      <c r="G438">
        <v>150</v>
      </c>
      <c r="H438" s="1">
        <f t="shared" si="6"/>
        <v>46477</v>
      </c>
      <c r="I438" t="s">
        <v>15</v>
      </c>
      <c r="J438" s="1">
        <v>41908</v>
      </c>
      <c r="K438" t="s">
        <v>22</v>
      </c>
      <c r="L438" s="3">
        <v>4.8799999999999996E-2</v>
      </c>
      <c r="M438" t="s">
        <v>17</v>
      </c>
      <c r="N438" t="s">
        <v>54</v>
      </c>
      <c r="O438">
        <v>294677994.19999999</v>
      </c>
      <c r="P438" s="1">
        <v>46022</v>
      </c>
      <c r="R438" s="7"/>
      <c r="S438" s="7"/>
    </row>
    <row r="439" spans="1:19" x14ac:dyDescent="0.3">
      <c r="A439" t="s">
        <v>487</v>
      </c>
      <c r="B439" t="s">
        <v>24</v>
      </c>
      <c r="C439" t="s">
        <v>32</v>
      </c>
      <c r="D439" s="5">
        <v>37808</v>
      </c>
      <c r="E439" s="4">
        <v>21868.55</v>
      </c>
      <c r="F439" t="s">
        <v>33</v>
      </c>
      <c r="G439">
        <v>6</v>
      </c>
      <c r="H439" s="1">
        <f t="shared" si="6"/>
        <v>45046</v>
      </c>
      <c r="I439" t="s">
        <v>70</v>
      </c>
      <c r="J439" s="1">
        <v>44865</v>
      </c>
      <c r="K439" t="s">
        <v>101</v>
      </c>
      <c r="L439" s="3">
        <v>0.15340000000000001</v>
      </c>
      <c r="M439" t="s">
        <v>29</v>
      </c>
      <c r="N439" t="s">
        <v>30</v>
      </c>
      <c r="O439">
        <v>0</v>
      </c>
      <c r="P439" s="1">
        <v>46022</v>
      </c>
      <c r="R439" s="7"/>
      <c r="S439" s="7"/>
    </row>
    <row r="440" spans="1:19" x14ac:dyDescent="0.3">
      <c r="A440" t="s">
        <v>488</v>
      </c>
      <c r="B440" t="s">
        <v>24</v>
      </c>
      <c r="C440" t="s">
        <v>28</v>
      </c>
      <c r="D440" s="5">
        <v>4479</v>
      </c>
      <c r="E440">
        <v>579.6</v>
      </c>
      <c r="F440" t="s">
        <v>33</v>
      </c>
      <c r="G440">
        <v>150</v>
      </c>
      <c r="H440" s="1">
        <f t="shared" si="6"/>
        <v>46053</v>
      </c>
      <c r="I440" t="s">
        <v>15</v>
      </c>
      <c r="J440" s="1">
        <v>41470</v>
      </c>
      <c r="K440" t="s">
        <v>22</v>
      </c>
      <c r="L440" s="3">
        <v>5.1200000000000002E-2</v>
      </c>
      <c r="M440" t="s">
        <v>29</v>
      </c>
      <c r="N440" t="s">
        <v>30</v>
      </c>
      <c r="O440">
        <v>0</v>
      </c>
      <c r="P440" s="1">
        <v>46022</v>
      </c>
      <c r="R440" s="7"/>
      <c r="S440" s="7"/>
    </row>
    <row r="441" spans="1:19" x14ac:dyDescent="0.3">
      <c r="A441" t="s">
        <v>489</v>
      </c>
      <c r="B441" t="s">
        <v>37</v>
      </c>
      <c r="C441" t="s">
        <v>78</v>
      </c>
      <c r="D441" s="5">
        <v>49288207</v>
      </c>
      <c r="E441">
        <v>26025975.84</v>
      </c>
      <c r="F441" t="s">
        <v>48</v>
      </c>
      <c r="G441">
        <v>156</v>
      </c>
      <c r="H441" s="1">
        <f t="shared" si="6"/>
        <v>48822</v>
      </c>
      <c r="I441" t="s">
        <v>15</v>
      </c>
      <c r="J441" s="1">
        <v>44056</v>
      </c>
      <c r="K441" t="s">
        <v>39</v>
      </c>
      <c r="L441" s="3">
        <v>5.3899999999999997E-2</v>
      </c>
      <c r="M441" t="s">
        <v>17</v>
      </c>
      <c r="N441" t="s">
        <v>26</v>
      </c>
      <c r="O441">
        <v>81633327.010000005</v>
      </c>
      <c r="P441" s="1">
        <v>46022</v>
      </c>
      <c r="R441" s="7"/>
      <c r="S441" s="7"/>
    </row>
    <row r="442" spans="1:19" x14ac:dyDescent="0.3">
      <c r="A442" t="s">
        <v>490</v>
      </c>
      <c r="B442" t="s">
        <v>12</v>
      </c>
      <c r="C442" t="s">
        <v>13</v>
      </c>
      <c r="D442" s="5">
        <v>18383793</v>
      </c>
      <c r="E442">
        <v>8584740.5199999996</v>
      </c>
      <c r="F442" t="s">
        <v>14</v>
      </c>
      <c r="G442">
        <v>306</v>
      </c>
      <c r="H442" s="1">
        <f t="shared" si="6"/>
        <v>50829</v>
      </c>
      <c r="I442" t="s">
        <v>15</v>
      </c>
      <c r="J442" s="1">
        <v>41512</v>
      </c>
      <c r="K442" t="s">
        <v>35</v>
      </c>
      <c r="L442" s="3">
        <v>3.5499999999999997E-2</v>
      </c>
      <c r="M442" t="s">
        <v>29</v>
      </c>
      <c r="N442" t="s">
        <v>30</v>
      </c>
      <c r="O442">
        <v>0</v>
      </c>
      <c r="P442" s="1">
        <v>46022</v>
      </c>
      <c r="R442" s="7"/>
      <c r="S442" s="7"/>
    </row>
    <row r="443" spans="1:19" x14ac:dyDescent="0.3">
      <c r="A443" t="s">
        <v>491</v>
      </c>
      <c r="B443" t="s">
        <v>24</v>
      </c>
      <c r="C443" t="s">
        <v>25</v>
      </c>
      <c r="D443" s="5">
        <v>947553</v>
      </c>
      <c r="E443">
        <v>232242.37</v>
      </c>
      <c r="F443" t="s">
        <v>14</v>
      </c>
      <c r="G443">
        <v>240</v>
      </c>
      <c r="H443" s="1">
        <f t="shared" si="6"/>
        <v>51348</v>
      </c>
      <c r="I443" t="s">
        <v>15</v>
      </c>
      <c r="J443" s="1">
        <v>44043</v>
      </c>
      <c r="K443" t="s">
        <v>22</v>
      </c>
      <c r="L443" s="3">
        <v>0.03</v>
      </c>
      <c r="M443" t="s">
        <v>17</v>
      </c>
      <c r="N443" t="s">
        <v>26</v>
      </c>
      <c r="O443">
        <v>1238132.3999999999</v>
      </c>
      <c r="P443" s="1">
        <v>46022</v>
      </c>
      <c r="R443" s="7"/>
      <c r="S443" s="7"/>
    </row>
    <row r="444" spans="1:19" x14ac:dyDescent="0.3">
      <c r="A444" t="s">
        <v>492</v>
      </c>
      <c r="B444" t="s">
        <v>24</v>
      </c>
      <c r="C444" t="s">
        <v>32</v>
      </c>
      <c r="D444" s="5">
        <v>33760</v>
      </c>
      <c r="E444">
        <v>23320.39</v>
      </c>
      <c r="F444" t="s">
        <v>33</v>
      </c>
      <c r="G444">
        <v>258</v>
      </c>
      <c r="H444" s="1">
        <f t="shared" si="6"/>
        <v>49918</v>
      </c>
      <c r="I444" t="s">
        <v>15</v>
      </c>
      <c r="J444" s="1">
        <v>42046</v>
      </c>
      <c r="K444" t="s">
        <v>22</v>
      </c>
      <c r="L444" s="3">
        <v>4.4400000000000002E-2</v>
      </c>
      <c r="M444" t="s">
        <v>29</v>
      </c>
      <c r="N444" t="s">
        <v>30</v>
      </c>
      <c r="O444">
        <v>0</v>
      </c>
      <c r="P444" s="1">
        <v>46022</v>
      </c>
      <c r="R444" s="7"/>
      <c r="S444" s="7"/>
    </row>
    <row r="445" spans="1:19" x14ac:dyDescent="0.3">
      <c r="A445" t="s">
        <v>493</v>
      </c>
      <c r="B445" t="s">
        <v>20</v>
      </c>
      <c r="C445" t="s">
        <v>21</v>
      </c>
      <c r="D445" s="5">
        <v>3409416</v>
      </c>
      <c r="E445">
        <v>3320893.58</v>
      </c>
      <c r="F445" t="s">
        <v>48</v>
      </c>
      <c r="G445">
        <v>60</v>
      </c>
      <c r="H445" s="1">
        <f t="shared" si="6"/>
        <v>46022</v>
      </c>
      <c r="I445" t="s">
        <v>15</v>
      </c>
      <c r="J445" s="1">
        <v>44179</v>
      </c>
      <c r="K445" t="s">
        <v>22</v>
      </c>
      <c r="L445" s="3">
        <v>4.58E-2</v>
      </c>
      <c r="M445" t="s">
        <v>17</v>
      </c>
      <c r="N445" t="s">
        <v>42</v>
      </c>
      <c r="O445">
        <v>6260951.8799999999</v>
      </c>
      <c r="P445" s="1">
        <v>46022</v>
      </c>
      <c r="R445" s="7"/>
      <c r="S445" s="7"/>
    </row>
    <row r="446" spans="1:19" x14ac:dyDescent="0.3">
      <c r="A446" t="s">
        <v>494</v>
      </c>
      <c r="B446" t="s">
        <v>24</v>
      </c>
      <c r="C446" t="s">
        <v>25</v>
      </c>
      <c r="D446" s="5">
        <v>425728</v>
      </c>
      <c r="E446">
        <v>257978.36</v>
      </c>
      <c r="F446" t="s">
        <v>14</v>
      </c>
      <c r="G446">
        <v>210</v>
      </c>
      <c r="H446" s="1">
        <f t="shared" si="6"/>
        <v>47542</v>
      </c>
      <c r="I446" t="s">
        <v>15</v>
      </c>
      <c r="J446" s="1">
        <v>41150</v>
      </c>
      <c r="K446" t="s">
        <v>16</v>
      </c>
      <c r="L446" s="3">
        <v>8.5999999999999993E-2</v>
      </c>
      <c r="M446" t="s">
        <v>17</v>
      </c>
      <c r="N446" t="s">
        <v>26</v>
      </c>
      <c r="O446">
        <v>533877.35</v>
      </c>
      <c r="P446" s="1">
        <v>46022</v>
      </c>
      <c r="R446" s="7"/>
      <c r="S446" s="7"/>
    </row>
    <row r="447" spans="1:19" x14ac:dyDescent="0.3">
      <c r="A447" t="s">
        <v>495</v>
      </c>
      <c r="B447" t="s">
        <v>37</v>
      </c>
      <c r="C447" t="s">
        <v>144</v>
      </c>
      <c r="D447" s="5">
        <v>300893788</v>
      </c>
      <c r="E447">
        <v>223647717.30000001</v>
      </c>
      <c r="F447" t="s">
        <v>33</v>
      </c>
      <c r="G447">
        <v>78</v>
      </c>
      <c r="H447" s="1">
        <f t="shared" si="6"/>
        <v>46022</v>
      </c>
      <c r="I447" t="s">
        <v>15</v>
      </c>
      <c r="J447" s="1">
        <v>43636</v>
      </c>
      <c r="K447" t="s">
        <v>56</v>
      </c>
      <c r="L447" s="3">
        <v>3.1099999999999999E-2</v>
      </c>
      <c r="M447" t="s">
        <v>29</v>
      </c>
      <c r="N447" t="s">
        <v>30</v>
      </c>
      <c r="O447">
        <v>0</v>
      </c>
      <c r="P447" s="1">
        <v>46022</v>
      </c>
      <c r="R447" s="7"/>
      <c r="S447" s="7"/>
    </row>
    <row r="448" spans="1:19" x14ac:dyDescent="0.3">
      <c r="A448" t="s">
        <v>496</v>
      </c>
      <c r="B448" t="s">
        <v>37</v>
      </c>
      <c r="C448" t="s">
        <v>92</v>
      </c>
      <c r="D448" s="5">
        <v>14964280</v>
      </c>
      <c r="E448">
        <v>2418308.59</v>
      </c>
      <c r="F448" t="s">
        <v>14</v>
      </c>
      <c r="G448">
        <v>60</v>
      </c>
      <c r="H448" s="1">
        <f t="shared" si="6"/>
        <v>47452</v>
      </c>
      <c r="I448" t="s">
        <v>15</v>
      </c>
      <c r="J448" s="1">
        <v>45611</v>
      </c>
      <c r="K448" t="s">
        <v>56</v>
      </c>
      <c r="L448" s="3">
        <v>2.4700000000000003E-2</v>
      </c>
      <c r="M448" t="s">
        <v>17</v>
      </c>
      <c r="N448" t="s">
        <v>42</v>
      </c>
      <c r="O448">
        <v>18695956.260000002</v>
      </c>
      <c r="P448" s="1">
        <v>46022</v>
      </c>
      <c r="R448" s="7"/>
      <c r="S448" s="7"/>
    </row>
    <row r="449" spans="1:19" x14ac:dyDescent="0.3">
      <c r="A449" t="s">
        <v>497</v>
      </c>
      <c r="B449" t="s">
        <v>24</v>
      </c>
      <c r="C449" t="s">
        <v>28</v>
      </c>
      <c r="D449" s="5">
        <v>32169</v>
      </c>
      <c r="E449">
        <v>15309.1</v>
      </c>
      <c r="F449" t="s">
        <v>33</v>
      </c>
      <c r="G449">
        <v>66</v>
      </c>
      <c r="H449" s="1">
        <f t="shared" si="6"/>
        <v>46752</v>
      </c>
      <c r="I449" t="s">
        <v>15</v>
      </c>
      <c r="J449" s="1">
        <v>44720</v>
      </c>
      <c r="K449" t="s">
        <v>16</v>
      </c>
      <c r="L449" s="3">
        <v>0.1038</v>
      </c>
      <c r="M449" t="s">
        <v>29</v>
      </c>
      <c r="N449" t="s">
        <v>30</v>
      </c>
      <c r="O449">
        <v>0</v>
      </c>
      <c r="P449" s="1">
        <v>46022</v>
      </c>
      <c r="R449" s="7"/>
      <c r="S449" s="7"/>
    </row>
    <row r="450" spans="1:19" x14ac:dyDescent="0.3">
      <c r="A450" t="s">
        <v>498</v>
      </c>
      <c r="B450" t="s">
        <v>12</v>
      </c>
      <c r="C450" t="s">
        <v>61</v>
      </c>
      <c r="D450" s="5">
        <v>45751060</v>
      </c>
      <c r="E450">
        <v>9366277.7200000007</v>
      </c>
      <c r="F450" t="s">
        <v>48</v>
      </c>
      <c r="G450">
        <v>120</v>
      </c>
      <c r="H450" s="1">
        <f t="shared" ref="H450:H513" si="7">EOMONTH(J450,G450)</f>
        <v>45016</v>
      </c>
      <c r="I450" t="s">
        <v>15</v>
      </c>
      <c r="J450" s="1">
        <v>41362</v>
      </c>
      <c r="K450" t="s">
        <v>35</v>
      </c>
      <c r="L450" s="3">
        <v>3.4099999999999998E-2</v>
      </c>
      <c r="M450" t="s">
        <v>29</v>
      </c>
      <c r="N450" t="s">
        <v>30</v>
      </c>
      <c r="O450">
        <v>0</v>
      </c>
      <c r="P450" s="1">
        <v>46022</v>
      </c>
      <c r="R450" s="7"/>
      <c r="S450" s="7"/>
    </row>
    <row r="451" spans="1:19" x14ac:dyDescent="0.3">
      <c r="A451" t="s">
        <v>499</v>
      </c>
      <c r="B451" t="s">
        <v>20</v>
      </c>
      <c r="C451" t="s">
        <v>89</v>
      </c>
      <c r="D451" s="5">
        <v>3082239</v>
      </c>
      <c r="E451">
        <v>2008128.59</v>
      </c>
      <c r="F451" t="s">
        <v>33</v>
      </c>
      <c r="G451">
        <v>204</v>
      </c>
      <c r="H451" s="1">
        <f t="shared" si="7"/>
        <v>47634</v>
      </c>
      <c r="I451" t="s">
        <v>15</v>
      </c>
      <c r="J451" s="1">
        <v>41417</v>
      </c>
      <c r="K451" t="s">
        <v>39</v>
      </c>
      <c r="L451" s="3">
        <v>7.2300000000000003E-2</v>
      </c>
      <c r="M451" t="s">
        <v>17</v>
      </c>
      <c r="N451" t="s">
        <v>18</v>
      </c>
      <c r="O451">
        <v>6126600.9100000001</v>
      </c>
      <c r="P451" s="1">
        <v>46022</v>
      </c>
      <c r="R451" s="7"/>
      <c r="S451" s="7"/>
    </row>
    <row r="452" spans="1:19" x14ac:dyDescent="0.3">
      <c r="A452" t="s">
        <v>500</v>
      </c>
      <c r="B452" t="s">
        <v>24</v>
      </c>
      <c r="C452" t="s">
        <v>41</v>
      </c>
      <c r="D452" s="5">
        <v>88633</v>
      </c>
      <c r="E452">
        <v>83725.62</v>
      </c>
      <c r="F452" t="s">
        <v>14</v>
      </c>
      <c r="G452">
        <v>234</v>
      </c>
      <c r="H452" s="1">
        <f t="shared" si="7"/>
        <v>51379</v>
      </c>
      <c r="I452" t="s">
        <v>15</v>
      </c>
      <c r="J452" s="1">
        <v>44244</v>
      </c>
      <c r="K452" t="s">
        <v>22</v>
      </c>
      <c r="L452" s="3">
        <v>4.3099999999999999E-2</v>
      </c>
      <c r="M452" t="s">
        <v>17</v>
      </c>
      <c r="N452" t="s">
        <v>42</v>
      </c>
      <c r="O452">
        <v>105757.47</v>
      </c>
      <c r="P452" s="1">
        <v>46022</v>
      </c>
      <c r="R452" s="7"/>
      <c r="S452" s="7"/>
    </row>
    <row r="453" spans="1:19" x14ac:dyDescent="0.3">
      <c r="A453" t="s">
        <v>501</v>
      </c>
      <c r="B453" t="s">
        <v>24</v>
      </c>
      <c r="C453" t="s">
        <v>28</v>
      </c>
      <c r="D453" s="5">
        <v>36475</v>
      </c>
      <c r="E453">
        <v>25371.79</v>
      </c>
      <c r="F453" t="s">
        <v>33</v>
      </c>
      <c r="G453">
        <v>246</v>
      </c>
      <c r="H453" s="1">
        <f t="shared" si="7"/>
        <v>52200</v>
      </c>
      <c r="I453" t="s">
        <v>15</v>
      </c>
      <c r="J453" s="1">
        <v>44707</v>
      </c>
      <c r="K453" t="s">
        <v>39</v>
      </c>
      <c r="L453" s="3">
        <v>7.4299999999999991E-2</v>
      </c>
      <c r="M453" t="s">
        <v>29</v>
      </c>
      <c r="N453" t="s">
        <v>30</v>
      </c>
      <c r="O453">
        <v>0</v>
      </c>
      <c r="P453" s="1">
        <v>46022</v>
      </c>
      <c r="R453" s="7"/>
      <c r="S453" s="7"/>
    </row>
    <row r="454" spans="1:19" x14ac:dyDescent="0.3">
      <c r="A454" t="s">
        <v>502</v>
      </c>
      <c r="B454" t="s">
        <v>24</v>
      </c>
      <c r="C454" t="s">
        <v>28</v>
      </c>
      <c r="D454" s="5">
        <v>6907</v>
      </c>
      <c r="E454">
        <v>1168.19</v>
      </c>
      <c r="F454" t="s">
        <v>14</v>
      </c>
      <c r="G454">
        <v>252</v>
      </c>
      <c r="H454" s="1">
        <f t="shared" si="7"/>
        <v>47938</v>
      </c>
      <c r="I454" t="s">
        <v>15</v>
      </c>
      <c r="J454" s="1">
        <v>40248</v>
      </c>
      <c r="K454" t="s">
        <v>35</v>
      </c>
      <c r="L454" s="3">
        <v>4.9200000000000001E-2</v>
      </c>
      <c r="M454" t="s">
        <v>29</v>
      </c>
      <c r="N454" t="s">
        <v>30</v>
      </c>
      <c r="O454">
        <v>0</v>
      </c>
      <c r="P454" s="1">
        <v>46022</v>
      </c>
      <c r="R454" s="7"/>
      <c r="S454" s="7"/>
    </row>
    <row r="455" spans="1:19" x14ac:dyDescent="0.3">
      <c r="A455" t="s">
        <v>503</v>
      </c>
      <c r="B455" t="s">
        <v>24</v>
      </c>
      <c r="C455" t="s">
        <v>28</v>
      </c>
      <c r="D455" s="5">
        <v>45220</v>
      </c>
      <c r="E455">
        <v>18956.29</v>
      </c>
      <c r="F455" t="s">
        <v>33</v>
      </c>
      <c r="G455">
        <v>300</v>
      </c>
      <c r="H455" s="1">
        <f t="shared" si="7"/>
        <v>54635</v>
      </c>
      <c r="I455" t="s">
        <v>15</v>
      </c>
      <c r="J455" s="1">
        <v>45482</v>
      </c>
      <c r="K455" t="s">
        <v>35</v>
      </c>
      <c r="L455" s="3">
        <v>5.9400000000000001E-2</v>
      </c>
      <c r="M455" t="s">
        <v>29</v>
      </c>
      <c r="N455" t="s">
        <v>30</v>
      </c>
      <c r="O455">
        <v>0</v>
      </c>
      <c r="P455" s="1">
        <v>46022</v>
      </c>
      <c r="R455" s="7"/>
      <c r="S455" s="7"/>
    </row>
    <row r="456" spans="1:19" x14ac:dyDescent="0.3">
      <c r="A456" t="s">
        <v>504</v>
      </c>
      <c r="B456" t="s">
        <v>24</v>
      </c>
      <c r="C456" t="s">
        <v>41</v>
      </c>
      <c r="D456" s="5">
        <v>15980</v>
      </c>
      <c r="E456">
        <v>9517.61</v>
      </c>
      <c r="F456" t="s">
        <v>14</v>
      </c>
      <c r="G456">
        <v>138</v>
      </c>
      <c r="H456" s="1">
        <f t="shared" si="7"/>
        <v>48395</v>
      </c>
      <c r="I456" t="s">
        <v>15</v>
      </c>
      <c r="J456" s="1">
        <v>44195</v>
      </c>
      <c r="K456" t="s">
        <v>22</v>
      </c>
      <c r="L456" s="3">
        <v>3.4300000000000004E-2</v>
      </c>
      <c r="M456" t="s">
        <v>17</v>
      </c>
      <c r="N456" t="s">
        <v>42</v>
      </c>
      <c r="O456">
        <v>16170.94</v>
      </c>
      <c r="P456" s="1">
        <v>46022</v>
      </c>
      <c r="R456" s="7"/>
      <c r="S456" s="7"/>
    </row>
    <row r="457" spans="1:19" x14ac:dyDescent="0.3">
      <c r="A457" t="s">
        <v>505</v>
      </c>
      <c r="B457" t="s">
        <v>37</v>
      </c>
      <c r="C457" t="s">
        <v>78</v>
      </c>
      <c r="D457" s="5">
        <v>271644062</v>
      </c>
      <c r="E457">
        <v>125740499.40000001</v>
      </c>
      <c r="F457" t="s">
        <v>33</v>
      </c>
      <c r="G457">
        <v>150</v>
      </c>
      <c r="H457" s="1">
        <f t="shared" si="7"/>
        <v>45169</v>
      </c>
      <c r="I457" t="s">
        <v>15</v>
      </c>
      <c r="J457" s="1">
        <v>40591</v>
      </c>
      <c r="K457" t="s">
        <v>16</v>
      </c>
      <c r="L457" s="3">
        <v>9.9399999999999988E-2</v>
      </c>
      <c r="M457" t="s">
        <v>17</v>
      </c>
      <c r="N457" t="s">
        <v>26</v>
      </c>
      <c r="O457">
        <v>363749121.69999999</v>
      </c>
      <c r="P457" s="1">
        <v>46022</v>
      </c>
      <c r="R457" s="7"/>
      <c r="S457" s="7"/>
    </row>
    <row r="458" spans="1:19" x14ac:dyDescent="0.3">
      <c r="A458" t="s">
        <v>506</v>
      </c>
      <c r="B458" t="s">
        <v>12</v>
      </c>
      <c r="C458" t="s">
        <v>63</v>
      </c>
      <c r="D458" s="5">
        <v>7964719</v>
      </c>
      <c r="E458">
        <v>6772238.2199999997</v>
      </c>
      <c r="F458" t="s">
        <v>33</v>
      </c>
      <c r="G458">
        <v>354</v>
      </c>
      <c r="H458" s="1">
        <f t="shared" si="7"/>
        <v>53296</v>
      </c>
      <c r="I458" t="s">
        <v>15</v>
      </c>
      <c r="J458" s="1">
        <v>42516</v>
      </c>
      <c r="K458" t="s">
        <v>22</v>
      </c>
      <c r="L458" s="3">
        <v>4.0999999999999995E-2</v>
      </c>
      <c r="M458" t="s">
        <v>17</v>
      </c>
      <c r="N458" t="s">
        <v>54</v>
      </c>
      <c r="O458">
        <v>12500637.039999999</v>
      </c>
      <c r="P458" s="1">
        <v>46022</v>
      </c>
      <c r="R458" s="7"/>
      <c r="S458" s="7"/>
    </row>
    <row r="459" spans="1:19" x14ac:dyDescent="0.3">
      <c r="A459" t="s">
        <v>507</v>
      </c>
      <c r="B459" t="s">
        <v>37</v>
      </c>
      <c r="C459" t="s">
        <v>78</v>
      </c>
      <c r="D459" s="5">
        <v>15736239</v>
      </c>
      <c r="E459">
        <v>13111495.99</v>
      </c>
      <c r="F459" t="s">
        <v>14</v>
      </c>
      <c r="G459">
        <v>234</v>
      </c>
      <c r="H459" s="1">
        <f t="shared" si="7"/>
        <v>48060</v>
      </c>
      <c r="I459" t="s">
        <v>15</v>
      </c>
      <c r="J459" s="1">
        <v>40934</v>
      </c>
      <c r="K459" t="s">
        <v>22</v>
      </c>
      <c r="L459" s="3">
        <v>4.3799999999999999E-2</v>
      </c>
      <c r="M459" t="s">
        <v>29</v>
      </c>
      <c r="N459" t="s">
        <v>30</v>
      </c>
      <c r="O459">
        <v>0</v>
      </c>
      <c r="P459" s="1">
        <v>46022</v>
      </c>
      <c r="R459" s="7"/>
      <c r="S459" s="7"/>
    </row>
    <row r="460" spans="1:19" x14ac:dyDescent="0.3">
      <c r="A460" t="s">
        <v>508</v>
      </c>
      <c r="B460" t="s">
        <v>24</v>
      </c>
      <c r="C460" t="s">
        <v>28</v>
      </c>
      <c r="D460" s="5">
        <v>21680</v>
      </c>
      <c r="E460">
        <v>14105.84</v>
      </c>
      <c r="F460" t="s">
        <v>48</v>
      </c>
      <c r="G460">
        <v>180</v>
      </c>
      <c r="H460" s="1">
        <f t="shared" si="7"/>
        <v>46112</v>
      </c>
      <c r="I460" t="s">
        <v>15</v>
      </c>
      <c r="J460" s="1">
        <v>40617</v>
      </c>
      <c r="K460" t="s">
        <v>39</v>
      </c>
      <c r="L460" s="3">
        <v>7.5999999999999998E-2</v>
      </c>
      <c r="M460" t="s">
        <v>29</v>
      </c>
      <c r="N460" t="s">
        <v>30</v>
      </c>
      <c r="O460">
        <v>0</v>
      </c>
      <c r="P460" s="1">
        <v>46022</v>
      </c>
      <c r="R460" s="7"/>
      <c r="S460" s="7"/>
    </row>
    <row r="461" spans="1:19" x14ac:dyDescent="0.3">
      <c r="A461" t="s">
        <v>509</v>
      </c>
      <c r="B461" t="s">
        <v>24</v>
      </c>
      <c r="C461" t="s">
        <v>41</v>
      </c>
      <c r="D461" s="5">
        <v>36554</v>
      </c>
      <c r="E461">
        <v>15941.5</v>
      </c>
      <c r="F461" t="s">
        <v>14</v>
      </c>
      <c r="G461">
        <v>120</v>
      </c>
      <c r="H461" s="1">
        <f t="shared" si="7"/>
        <v>48244</v>
      </c>
      <c r="I461" t="s">
        <v>15</v>
      </c>
      <c r="J461" s="1">
        <v>44588</v>
      </c>
      <c r="K461" t="s">
        <v>16</v>
      </c>
      <c r="L461" s="3">
        <v>8.8800000000000004E-2</v>
      </c>
      <c r="M461" t="s">
        <v>17</v>
      </c>
      <c r="N461" t="s">
        <v>42</v>
      </c>
      <c r="O461">
        <v>42988.67</v>
      </c>
      <c r="P461" s="1">
        <v>46022</v>
      </c>
      <c r="R461" s="7"/>
      <c r="S461" s="7"/>
    </row>
    <row r="462" spans="1:19" x14ac:dyDescent="0.3">
      <c r="A462" t="s">
        <v>510</v>
      </c>
      <c r="B462" t="s">
        <v>24</v>
      </c>
      <c r="C462" t="s">
        <v>25</v>
      </c>
      <c r="D462" s="5">
        <v>537400</v>
      </c>
      <c r="E462">
        <v>177236.14</v>
      </c>
      <c r="F462" t="s">
        <v>14</v>
      </c>
      <c r="G462">
        <v>150</v>
      </c>
      <c r="H462" s="1">
        <f t="shared" si="7"/>
        <v>47483</v>
      </c>
      <c r="I462" t="s">
        <v>15</v>
      </c>
      <c r="J462" s="1">
        <v>42905</v>
      </c>
      <c r="K462" t="s">
        <v>39</v>
      </c>
      <c r="L462" s="3">
        <v>6.59E-2</v>
      </c>
      <c r="M462" t="s">
        <v>17</v>
      </c>
      <c r="N462" t="s">
        <v>26</v>
      </c>
      <c r="O462">
        <v>715091.25</v>
      </c>
      <c r="P462" s="1">
        <v>46022</v>
      </c>
      <c r="R462" s="7"/>
      <c r="S462" s="7"/>
    </row>
    <row r="463" spans="1:19" x14ac:dyDescent="0.3">
      <c r="A463" t="s">
        <v>511</v>
      </c>
      <c r="B463" t="s">
        <v>24</v>
      </c>
      <c r="C463" t="s">
        <v>41</v>
      </c>
      <c r="D463" s="5">
        <v>61948</v>
      </c>
      <c r="E463" s="4">
        <v>12097.63</v>
      </c>
      <c r="F463" t="s">
        <v>14</v>
      </c>
      <c r="G463">
        <v>294</v>
      </c>
      <c r="H463" s="1">
        <f t="shared" si="7"/>
        <v>52962</v>
      </c>
      <c r="I463" t="s">
        <v>15</v>
      </c>
      <c r="J463" s="1">
        <v>43983</v>
      </c>
      <c r="K463" t="s">
        <v>101</v>
      </c>
      <c r="L463" s="3">
        <v>0.12670000000000001</v>
      </c>
      <c r="M463" t="s">
        <v>17</v>
      </c>
      <c r="N463" t="s">
        <v>42</v>
      </c>
      <c r="O463">
        <v>69450.740000000005</v>
      </c>
      <c r="P463" s="1">
        <v>46022</v>
      </c>
      <c r="R463" s="7"/>
      <c r="S463" s="7"/>
    </row>
    <row r="464" spans="1:19" x14ac:dyDescent="0.3">
      <c r="A464" t="s">
        <v>512</v>
      </c>
      <c r="B464" t="s">
        <v>24</v>
      </c>
      <c r="C464" t="s">
        <v>28</v>
      </c>
      <c r="D464" s="5">
        <v>3143</v>
      </c>
      <c r="E464">
        <v>1318.29</v>
      </c>
      <c r="F464" t="s">
        <v>48</v>
      </c>
      <c r="G464">
        <v>156</v>
      </c>
      <c r="H464" s="1">
        <f t="shared" si="7"/>
        <v>46721</v>
      </c>
      <c r="I464" t="s">
        <v>15</v>
      </c>
      <c r="J464" s="1">
        <v>41969</v>
      </c>
      <c r="K464" t="s">
        <v>56</v>
      </c>
      <c r="L464" s="3">
        <v>3.78E-2</v>
      </c>
      <c r="M464" t="s">
        <v>29</v>
      </c>
      <c r="N464" t="s">
        <v>30</v>
      </c>
      <c r="O464">
        <v>0</v>
      </c>
      <c r="P464" s="1">
        <v>46022</v>
      </c>
      <c r="R464" s="7"/>
      <c r="S464" s="7"/>
    </row>
    <row r="465" spans="1:19" x14ac:dyDescent="0.3">
      <c r="A465" t="s">
        <v>513</v>
      </c>
      <c r="B465" t="s">
        <v>24</v>
      </c>
      <c r="C465" t="s">
        <v>28</v>
      </c>
      <c r="D465" s="5">
        <v>7027</v>
      </c>
      <c r="E465">
        <v>3315.8</v>
      </c>
      <c r="F465" t="s">
        <v>33</v>
      </c>
      <c r="G465">
        <v>198</v>
      </c>
      <c r="H465" s="1">
        <f t="shared" si="7"/>
        <v>47968</v>
      </c>
      <c r="I465" t="s">
        <v>15</v>
      </c>
      <c r="J465" s="1">
        <v>41921</v>
      </c>
      <c r="K465" t="s">
        <v>35</v>
      </c>
      <c r="L465" s="3">
        <v>3.5499999999999997E-2</v>
      </c>
      <c r="M465" t="s">
        <v>29</v>
      </c>
      <c r="N465" t="s">
        <v>30</v>
      </c>
      <c r="O465">
        <v>0</v>
      </c>
      <c r="P465" s="1">
        <v>46022</v>
      </c>
      <c r="R465" s="7"/>
      <c r="S465" s="7"/>
    </row>
    <row r="466" spans="1:19" x14ac:dyDescent="0.3">
      <c r="A466" t="s">
        <v>514</v>
      </c>
      <c r="B466" t="s">
        <v>24</v>
      </c>
      <c r="C466" t="s">
        <v>41</v>
      </c>
      <c r="D466" s="5">
        <v>60278</v>
      </c>
      <c r="E466">
        <v>42691.199999999997</v>
      </c>
      <c r="F466" t="s">
        <v>14</v>
      </c>
      <c r="G466">
        <v>222</v>
      </c>
      <c r="H466" s="1">
        <f t="shared" si="7"/>
        <v>50709</v>
      </c>
      <c r="I466" t="s">
        <v>15</v>
      </c>
      <c r="J466" s="1">
        <v>43935</v>
      </c>
      <c r="K466" t="s">
        <v>39</v>
      </c>
      <c r="L466" s="3">
        <v>5.0499999999999996E-2</v>
      </c>
      <c r="M466" t="s">
        <v>17</v>
      </c>
      <c r="N466" t="s">
        <v>42</v>
      </c>
      <c r="O466">
        <v>71896.39</v>
      </c>
      <c r="P466" s="1">
        <v>46022</v>
      </c>
      <c r="R466" s="7"/>
      <c r="S466" s="7"/>
    </row>
    <row r="467" spans="1:19" x14ac:dyDescent="0.3">
      <c r="A467" t="s">
        <v>515</v>
      </c>
      <c r="B467" t="s">
        <v>24</v>
      </c>
      <c r="C467" t="s">
        <v>32</v>
      </c>
      <c r="D467" s="5">
        <v>17815</v>
      </c>
      <c r="E467">
        <v>12334.24</v>
      </c>
      <c r="F467" t="s">
        <v>33</v>
      </c>
      <c r="G467">
        <v>288</v>
      </c>
      <c r="H467" s="1">
        <f t="shared" si="7"/>
        <v>51986</v>
      </c>
      <c r="I467" t="s">
        <v>15</v>
      </c>
      <c r="J467" s="1">
        <v>43209</v>
      </c>
      <c r="K467" t="s">
        <v>39</v>
      </c>
      <c r="L467" s="3">
        <v>6.9699999999999998E-2</v>
      </c>
      <c r="M467" t="s">
        <v>29</v>
      </c>
      <c r="N467" t="s">
        <v>30</v>
      </c>
      <c r="O467">
        <v>0</v>
      </c>
      <c r="P467" s="1">
        <v>46022</v>
      </c>
      <c r="R467" s="7"/>
      <c r="S467" s="7"/>
    </row>
    <row r="468" spans="1:19" x14ac:dyDescent="0.3">
      <c r="A468" t="s">
        <v>516</v>
      </c>
      <c r="B468" t="s">
        <v>24</v>
      </c>
      <c r="C468" t="s">
        <v>41</v>
      </c>
      <c r="D468" s="5">
        <v>75626</v>
      </c>
      <c r="E468">
        <v>12334.33</v>
      </c>
      <c r="F468" t="s">
        <v>14</v>
      </c>
      <c r="G468">
        <v>90</v>
      </c>
      <c r="H468" s="1">
        <f t="shared" si="7"/>
        <v>46295</v>
      </c>
      <c r="I468" t="s">
        <v>15</v>
      </c>
      <c r="J468" s="1">
        <v>43539</v>
      </c>
      <c r="K468" t="s">
        <v>22</v>
      </c>
      <c r="L468" s="3">
        <v>4.2000000000000003E-2</v>
      </c>
      <c r="M468" t="s">
        <v>17</v>
      </c>
      <c r="N468" t="s">
        <v>42</v>
      </c>
      <c r="O468">
        <v>89500.41</v>
      </c>
      <c r="P468" s="1">
        <v>46022</v>
      </c>
      <c r="R468" s="7"/>
      <c r="S468" s="7"/>
    </row>
    <row r="469" spans="1:19" x14ac:dyDescent="0.3">
      <c r="A469" t="s">
        <v>517</v>
      </c>
      <c r="B469" t="s">
        <v>37</v>
      </c>
      <c r="C469" t="s">
        <v>144</v>
      </c>
      <c r="D469" s="5">
        <v>329622908</v>
      </c>
      <c r="E469">
        <v>150220163.19999999</v>
      </c>
      <c r="F469" t="s">
        <v>14</v>
      </c>
      <c r="G469">
        <v>120</v>
      </c>
      <c r="H469" s="1">
        <f t="shared" si="7"/>
        <v>47057</v>
      </c>
      <c r="I469" t="s">
        <v>15</v>
      </c>
      <c r="J469" s="1">
        <v>43395</v>
      </c>
      <c r="K469" t="s">
        <v>35</v>
      </c>
      <c r="L469" s="3">
        <v>4.7100000000000003E-2</v>
      </c>
      <c r="M469" t="s">
        <v>29</v>
      </c>
      <c r="N469" t="s">
        <v>30</v>
      </c>
      <c r="O469">
        <v>0</v>
      </c>
      <c r="P469" s="1">
        <v>46022</v>
      </c>
      <c r="R469" s="7"/>
      <c r="S469" s="7"/>
    </row>
    <row r="470" spans="1:19" x14ac:dyDescent="0.3">
      <c r="A470" t="s">
        <v>518</v>
      </c>
      <c r="B470" t="s">
        <v>24</v>
      </c>
      <c r="C470" t="s">
        <v>41</v>
      </c>
      <c r="D470" s="5">
        <v>86104</v>
      </c>
      <c r="E470">
        <v>22697.200000000001</v>
      </c>
      <c r="F470" t="s">
        <v>14</v>
      </c>
      <c r="G470">
        <v>246</v>
      </c>
      <c r="H470" s="1">
        <f t="shared" si="7"/>
        <v>49034</v>
      </c>
      <c r="I470" t="s">
        <v>15</v>
      </c>
      <c r="J470" s="1">
        <v>41543</v>
      </c>
      <c r="K470" t="s">
        <v>39</v>
      </c>
      <c r="L470" s="3">
        <v>6.3399999999999998E-2</v>
      </c>
      <c r="M470" t="s">
        <v>17</v>
      </c>
      <c r="N470" t="s">
        <v>42</v>
      </c>
      <c r="O470">
        <v>96762.6</v>
      </c>
      <c r="P470" s="1">
        <v>46022</v>
      </c>
      <c r="R470" s="7"/>
      <c r="S470" s="7"/>
    </row>
    <row r="471" spans="1:19" x14ac:dyDescent="0.3">
      <c r="A471" t="s">
        <v>519</v>
      </c>
      <c r="B471" t="s">
        <v>12</v>
      </c>
      <c r="C471" t="s">
        <v>63</v>
      </c>
      <c r="D471" s="5">
        <v>34932149</v>
      </c>
      <c r="E471">
        <v>8423239.0899999999</v>
      </c>
      <c r="F471" t="s">
        <v>33</v>
      </c>
      <c r="G471">
        <v>120</v>
      </c>
      <c r="H471" s="1">
        <f t="shared" si="7"/>
        <v>45107</v>
      </c>
      <c r="I471" t="s">
        <v>15</v>
      </c>
      <c r="J471" s="1">
        <v>41435</v>
      </c>
      <c r="K471" t="s">
        <v>56</v>
      </c>
      <c r="L471" s="3">
        <v>3.4599999999999999E-2</v>
      </c>
      <c r="M471" t="s">
        <v>17</v>
      </c>
      <c r="N471" t="s">
        <v>18</v>
      </c>
      <c r="O471">
        <v>64145093.229999997</v>
      </c>
      <c r="P471" s="1">
        <v>46022</v>
      </c>
      <c r="R471" s="7"/>
      <c r="S471" s="7"/>
    </row>
    <row r="472" spans="1:19" x14ac:dyDescent="0.3">
      <c r="A472" t="s">
        <v>520</v>
      </c>
      <c r="B472" t="s">
        <v>24</v>
      </c>
      <c r="C472" t="s">
        <v>41</v>
      </c>
      <c r="D472" s="5">
        <v>48694</v>
      </c>
      <c r="E472">
        <v>41125.42</v>
      </c>
      <c r="F472" t="s">
        <v>14</v>
      </c>
      <c r="G472">
        <v>192</v>
      </c>
      <c r="H472" s="1">
        <f t="shared" si="7"/>
        <v>51501</v>
      </c>
      <c r="I472" t="s">
        <v>15</v>
      </c>
      <c r="J472" s="1">
        <v>45645</v>
      </c>
      <c r="K472" t="s">
        <v>22</v>
      </c>
      <c r="L472" s="3">
        <v>6.7699999999999996E-2</v>
      </c>
      <c r="M472" t="s">
        <v>17</v>
      </c>
      <c r="N472" t="s">
        <v>42</v>
      </c>
      <c r="O472">
        <v>50473.24</v>
      </c>
      <c r="P472" s="1">
        <v>46022</v>
      </c>
      <c r="R472" s="7"/>
      <c r="S472" s="7"/>
    </row>
    <row r="473" spans="1:19" x14ac:dyDescent="0.3">
      <c r="A473" t="s">
        <v>521</v>
      </c>
      <c r="B473" t="s">
        <v>37</v>
      </c>
      <c r="C473" t="s">
        <v>38</v>
      </c>
      <c r="D473" s="5">
        <v>339753645</v>
      </c>
      <c r="E473">
        <v>46792127.390000001</v>
      </c>
      <c r="F473" t="s">
        <v>48</v>
      </c>
      <c r="G473">
        <v>240</v>
      </c>
      <c r="H473" s="1">
        <f t="shared" si="7"/>
        <v>50405</v>
      </c>
      <c r="I473" t="s">
        <v>15</v>
      </c>
      <c r="J473" s="1">
        <v>43090</v>
      </c>
      <c r="K473" t="s">
        <v>22</v>
      </c>
      <c r="L473" s="3">
        <v>5.1699999999999996E-2</v>
      </c>
      <c r="M473" t="s">
        <v>17</v>
      </c>
      <c r="N473" t="s">
        <v>54</v>
      </c>
      <c r="O473">
        <v>417883646.80000001</v>
      </c>
      <c r="P473" s="1">
        <v>46022</v>
      </c>
      <c r="R473" s="7"/>
      <c r="S473" s="7"/>
    </row>
    <row r="474" spans="1:19" x14ac:dyDescent="0.3">
      <c r="A474" t="s">
        <v>522</v>
      </c>
      <c r="B474" t="s">
        <v>24</v>
      </c>
      <c r="C474" t="s">
        <v>32</v>
      </c>
      <c r="D474" s="5">
        <v>14494</v>
      </c>
      <c r="E474">
        <v>6917.32</v>
      </c>
      <c r="F474" t="s">
        <v>33</v>
      </c>
      <c r="G474">
        <v>120</v>
      </c>
      <c r="H474" s="1">
        <f t="shared" si="7"/>
        <v>48669</v>
      </c>
      <c r="I474" t="s">
        <v>15</v>
      </c>
      <c r="J474" s="1">
        <v>44991</v>
      </c>
      <c r="K474" t="s">
        <v>22</v>
      </c>
      <c r="L474" s="3">
        <v>7.4800000000000005E-2</v>
      </c>
      <c r="M474" t="s">
        <v>29</v>
      </c>
      <c r="N474" t="s">
        <v>30</v>
      </c>
      <c r="O474">
        <v>0</v>
      </c>
      <c r="P474" s="1">
        <v>46022</v>
      </c>
      <c r="R474" s="7"/>
      <c r="S474" s="7"/>
    </row>
    <row r="475" spans="1:19" x14ac:dyDescent="0.3">
      <c r="A475" t="s">
        <v>523</v>
      </c>
      <c r="B475" t="s">
        <v>24</v>
      </c>
      <c r="C475" t="s">
        <v>41</v>
      </c>
      <c r="D475" s="5">
        <v>37568</v>
      </c>
      <c r="E475">
        <v>9444.02</v>
      </c>
      <c r="F475" t="s">
        <v>14</v>
      </c>
      <c r="G475">
        <v>300</v>
      </c>
      <c r="H475" s="1">
        <f t="shared" si="7"/>
        <v>53692</v>
      </c>
      <c r="I475" t="s">
        <v>15</v>
      </c>
      <c r="J475" s="1">
        <v>44544</v>
      </c>
      <c r="K475" t="s">
        <v>39</v>
      </c>
      <c r="L475" s="3">
        <v>5.7099999999999998E-2</v>
      </c>
      <c r="M475" t="s">
        <v>17</v>
      </c>
      <c r="N475" t="s">
        <v>42</v>
      </c>
      <c r="O475">
        <v>46844.78</v>
      </c>
      <c r="P475" s="1">
        <v>46022</v>
      </c>
      <c r="R475" s="7"/>
      <c r="S475" s="7"/>
    </row>
    <row r="476" spans="1:19" x14ac:dyDescent="0.3">
      <c r="A476" t="s">
        <v>524</v>
      </c>
      <c r="B476" t="s">
        <v>24</v>
      </c>
      <c r="C476" t="s">
        <v>41</v>
      </c>
      <c r="D476" s="5">
        <v>81009</v>
      </c>
      <c r="E476">
        <v>72210.89</v>
      </c>
      <c r="F476" t="s">
        <v>14</v>
      </c>
      <c r="G476">
        <v>318</v>
      </c>
      <c r="H476" s="1">
        <f t="shared" si="7"/>
        <v>49918</v>
      </c>
      <c r="I476" t="s">
        <v>15</v>
      </c>
      <c r="J476" s="1">
        <v>40228</v>
      </c>
      <c r="K476" t="s">
        <v>22</v>
      </c>
      <c r="L476" s="3">
        <v>5.7200000000000001E-2</v>
      </c>
      <c r="M476" t="s">
        <v>17</v>
      </c>
      <c r="N476" t="s">
        <v>42</v>
      </c>
      <c r="O476">
        <v>86587.15</v>
      </c>
      <c r="P476" s="1">
        <v>46022</v>
      </c>
      <c r="R476" s="7"/>
      <c r="S476" s="7"/>
    </row>
    <row r="477" spans="1:19" x14ac:dyDescent="0.3">
      <c r="A477" t="s">
        <v>525</v>
      </c>
      <c r="B477" t="s">
        <v>24</v>
      </c>
      <c r="C477" t="s">
        <v>25</v>
      </c>
      <c r="D477" s="5">
        <v>501778</v>
      </c>
      <c r="E477">
        <v>301737.14</v>
      </c>
      <c r="F477" t="s">
        <v>14</v>
      </c>
      <c r="G477">
        <v>216</v>
      </c>
      <c r="H477" s="1">
        <f t="shared" si="7"/>
        <v>47391</v>
      </c>
      <c r="I477" t="s">
        <v>15</v>
      </c>
      <c r="J477" s="1">
        <v>40808</v>
      </c>
      <c r="K477" t="s">
        <v>39</v>
      </c>
      <c r="L477" s="3">
        <v>7.4800000000000005E-2</v>
      </c>
      <c r="M477" t="s">
        <v>17</v>
      </c>
      <c r="N477" t="s">
        <v>26</v>
      </c>
      <c r="O477">
        <v>650329.79</v>
      </c>
      <c r="P477" s="1">
        <v>46022</v>
      </c>
      <c r="R477" s="7"/>
      <c r="S477" s="7"/>
    </row>
    <row r="478" spans="1:19" x14ac:dyDescent="0.3">
      <c r="A478" t="s">
        <v>526</v>
      </c>
      <c r="B478" t="s">
        <v>24</v>
      </c>
      <c r="C478" t="s">
        <v>28</v>
      </c>
      <c r="D478" s="5">
        <v>40121</v>
      </c>
      <c r="E478">
        <v>12366.89</v>
      </c>
      <c r="F478" t="s">
        <v>14</v>
      </c>
      <c r="G478">
        <v>192</v>
      </c>
      <c r="H478" s="1">
        <f t="shared" si="7"/>
        <v>51013</v>
      </c>
      <c r="I478" t="s">
        <v>15</v>
      </c>
      <c r="J478" s="1">
        <v>45163</v>
      </c>
      <c r="K478" t="s">
        <v>22</v>
      </c>
      <c r="L478" s="3">
        <v>7.5600000000000001E-2</v>
      </c>
      <c r="M478" t="s">
        <v>29</v>
      </c>
      <c r="N478" t="s">
        <v>30</v>
      </c>
      <c r="O478">
        <v>0</v>
      </c>
      <c r="P478" s="1">
        <v>46022</v>
      </c>
      <c r="R478" s="7"/>
      <c r="S478" s="7"/>
    </row>
    <row r="479" spans="1:19" x14ac:dyDescent="0.3">
      <c r="A479" t="s">
        <v>527</v>
      </c>
      <c r="B479" t="s">
        <v>24</v>
      </c>
      <c r="C479" t="s">
        <v>32</v>
      </c>
      <c r="D479" s="5">
        <v>41299</v>
      </c>
      <c r="E479">
        <v>22804.5</v>
      </c>
      <c r="F479" t="s">
        <v>33</v>
      </c>
      <c r="G479">
        <v>168</v>
      </c>
      <c r="H479" s="1">
        <f t="shared" si="7"/>
        <v>47817</v>
      </c>
      <c r="I479" t="s">
        <v>15</v>
      </c>
      <c r="J479" s="1">
        <v>42675</v>
      </c>
      <c r="K479" t="s">
        <v>22</v>
      </c>
      <c r="L479" s="3">
        <v>3.9100000000000003E-2</v>
      </c>
      <c r="M479" t="s">
        <v>29</v>
      </c>
      <c r="N479" t="s">
        <v>30</v>
      </c>
      <c r="O479">
        <v>0</v>
      </c>
      <c r="P479" s="1">
        <v>46022</v>
      </c>
      <c r="R479" s="7"/>
      <c r="S479" s="7"/>
    </row>
    <row r="480" spans="1:19" x14ac:dyDescent="0.3">
      <c r="A480" t="s">
        <v>528</v>
      </c>
      <c r="B480" t="s">
        <v>24</v>
      </c>
      <c r="C480" t="s">
        <v>25</v>
      </c>
      <c r="D480" s="5">
        <v>871806</v>
      </c>
      <c r="E480">
        <v>661123.44999999995</v>
      </c>
      <c r="F480" t="s">
        <v>14</v>
      </c>
      <c r="G480">
        <v>78</v>
      </c>
      <c r="H480" s="1">
        <f t="shared" si="7"/>
        <v>47238</v>
      </c>
      <c r="I480" t="s">
        <v>15</v>
      </c>
      <c r="J480" s="1">
        <v>44837</v>
      </c>
      <c r="K480" t="s">
        <v>39</v>
      </c>
      <c r="L480" s="3">
        <v>7.9000000000000001E-2</v>
      </c>
      <c r="M480" t="s">
        <v>17</v>
      </c>
      <c r="N480" t="s">
        <v>26</v>
      </c>
      <c r="O480">
        <v>1203891.1200000001</v>
      </c>
      <c r="P480" s="1">
        <v>46022</v>
      </c>
      <c r="R480" s="7"/>
      <c r="S480" s="7"/>
    </row>
    <row r="481" spans="1:19" x14ac:dyDescent="0.3">
      <c r="A481" t="s">
        <v>529</v>
      </c>
      <c r="B481" t="s">
        <v>24</v>
      </c>
      <c r="C481" t="s">
        <v>41</v>
      </c>
      <c r="D481" s="5">
        <v>92497</v>
      </c>
      <c r="E481">
        <v>89010.6</v>
      </c>
      <c r="F481" t="s">
        <v>14</v>
      </c>
      <c r="G481">
        <v>60</v>
      </c>
      <c r="H481" s="1">
        <f t="shared" si="7"/>
        <v>45535</v>
      </c>
      <c r="I481" t="s">
        <v>15</v>
      </c>
      <c r="J481" s="1">
        <v>43700</v>
      </c>
      <c r="K481" t="s">
        <v>22</v>
      </c>
      <c r="L481" s="3">
        <v>4.53E-2</v>
      </c>
      <c r="M481" t="s">
        <v>17</v>
      </c>
      <c r="N481" t="s">
        <v>42</v>
      </c>
      <c r="O481">
        <v>107031.6</v>
      </c>
      <c r="P481" s="1">
        <v>46022</v>
      </c>
      <c r="R481" s="7"/>
      <c r="S481" s="7"/>
    </row>
    <row r="482" spans="1:19" x14ac:dyDescent="0.3">
      <c r="A482" t="s">
        <v>530</v>
      </c>
      <c r="B482" t="s">
        <v>20</v>
      </c>
      <c r="C482" t="s">
        <v>89</v>
      </c>
      <c r="D482" s="5">
        <v>2183377</v>
      </c>
      <c r="E482">
        <v>651522.71</v>
      </c>
      <c r="F482" t="s">
        <v>48</v>
      </c>
      <c r="G482">
        <v>360</v>
      </c>
      <c r="H482" s="1">
        <f t="shared" si="7"/>
        <v>54969</v>
      </c>
      <c r="I482" t="s">
        <v>15</v>
      </c>
      <c r="J482" s="1">
        <v>44001</v>
      </c>
      <c r="K482" t="s">
        <v>56</v>
      </c>
      <c r="L482" s="3">
        <v>1.6500000000000001E-2</v>
      </c>
      <c r="M482" t="s">
        <v>29</v>
      </c>
      <c r="N482" t="s">
        <v>30</v>
      </c>
      <c r="O482">
        <v>0</v>
      </c>
      <c r="P482" s="1">
        <v>46022</v>
      </c>
      <c r="R482" s="7"/>
      <c r="S482" s="7"/>
    </row>
    <row r="483" spans="1:19" x14ac:dyDescent="0.3">
      <c r="A483" t="s">
        <v>531</v>
      </c>
      <c r="B483" t="s">
        <v>24</v>
      </c>
      <c r="C483" t="s">
        <v>25</v>
      </c>
      <c r="D483" s="5">
        <v>386980</v>
      </c>
      <c r="E483">
        <v>347339.29</v>
      </c>
      <c r="F483" t="s">
        <v>14</v>
      </c>
      <c r="G483">
        <v>336</v>
      </c>
      <c r="H483" s="1">
        <f t="shared" si="7"/>
        <v>52627</v>
      </c>
      <c r="I483" t="s">
        <v>15</v>
      </c>
      <c r="J483" s="1">
        <v>42387</v>
      </c>
      <c r="K483" t="s">
        <v>35</v>
      </c>
      <c r="L483" s="3">
        <v>3.5099999999999999E-2</v>
      </c>
      <c r="M483" t="s">
        <v>17</v>
      </c>
      <c r="N483" t="s">
        <v>26</v>
      </c>
      <c r="O483">
        <v>465302.22</v>
      </c>
      <c r="P483" s="1">
        <v>46022</v>
      </c>
      <c r="R483" s="7"/>
      <c r="S483" s="7"/>
    </row>
    <row r="484" spans="1:19" x14ac:dyDescent="0.3">
      <c r="A484" t="s">
        <v>532</v>
      </c>
      <c r="B484" t="s">
        <v>24</v>
      </c>
      <c r="C484" t="s">
        <v>32</v>
      </c>
      <c r="D484" s="5">
        <v>29528</v>
      </c>
      <c r="E484">
        <v>27781.87</v>
      </c>
      <c r="F484" t="s">
        <v>33</v>
      </c>
      <c r="G484">
        <v>210</v>
      </c>
      <c r="H484" s="1">
        <f t="shared" si="7"/>
        <v>47422</v>
      </c>
      <c r="I484" t="s">
        <v>15</v>
      </c>
      <c r="J484" s="1">
        <v>41017</v>
      </c>
      <c r="K484" t="s">
        <v>35</v>
      </c>
      <c r="L484" s="3">
        <v>3.1600000000000003E-2</v>
      </c>
      <c r="M484" t="s">
        <v>29</v>
      </c>
      <c r="N484" t="s">
        <v>30</v>
      </c>
      <c r="O484">
        <v>0</v>
      </c>
      <c r="P484" s="1">
        <v>46022</v>
      </c>
      <c r="R484" s="7"/>
      <c r="S484" s="7"/>
    </row>
    <row r="485" spans="1:19" x14ac:dyDescent="0.3">
      <c r="A485" t="s">
        <v>533</v>
      </c>
      <c r="B485" t="s">
        <v>20</v>
      </c>
      <c r="C485" t="s">
        <v>51</v>
      </c>
      <c r="D485" s="5">
        <v>1887304</v>
      </c>
      <c r="E485">
        <v>1745337.68</v>
      </c>
      <c r="F485" t="s">
        <v>48</v>
      </c>
      <c r="G485">
        <v>288</v>
      </c>
      <c r="H485" s="1">
        <f t="shared" si="7"/>
        <v>51835</v>
      </c>
      <c r="I485" t="s">
        <v>15</v>
      </c>
      <c r="J485" s="1">
        <v>43045</v>
      </c>
      <c r="K485" t="s">
        <v>22</v>
      </c>
      <c r="L485" s="3">
        <v>5.1299999999999998E-2</v>
      </c>
      <c r="M485" t="s">
        <v>17</v>
      </c>
      <c r="N485" t="s">
        <v>18</v>
      </c>
      <c r="O485">
        <v>2624731.42</v>
      </c>
      <c r="P485" s="1">
        <v>46022</v>
      </c>
      <c r="R485" s="7"/>
      <c r="S485" s="7"/>
    </row>
    <row r="486" spans="1:19" x14ac:dyDescent="0.3">
      <c r="A486" t="s">
        <v>534</v>
      </c>
      <c r="B486" t="s">
        <v>24</v>
      </c>
      <c r="C486" t="s">
        <v>32</v>
      </c>
      <c r="D486" s="5">
        <v>30453</v>
      </c>
      <c r="E486">
        <v>20460.3</v>
      </c>
      <c r="F486" t="s">
        <v>33</v>
      </c>
      <c r="G486">
        <v>180</v>
      </c>
      <c r="H486" s="1">
        <f t="shared" si="7"/>
        <v>48883</v>
      </c>
      <c r="I486" t="s">
        <v>15</v>
      </c>
      <c r="J486" s="1">
        <v>43399</v>
      </c>
      <c r="K486" t="s">
        <v>39</v>
      </c>
      <c r="L486" s="3">
        <v>7.3499999999999996E-2</v>
      </c>
      <c r="M486" t="s">
        <v>29</v>
      </c>
      <c r="N486" t="s">
        <v>30</v>
      </c>
      <c r="O486">
        <v>0</v>
      </c>
      <c r="P486" s="1">
        <v>46022</v>
      </c>
      <c r="R486" s="7"/>
      <c r="S486" s="7"/>
    </row>
    <row r="487" spans="1:19" x14ac:dyDescent="0.3">
      <c r="A487" t="s">
        <v>535</v>
      </c>
      <c r="B487" t="s">
        <v>24</v>
      </c>
      <c r="C487" t="s">
        <v>41</v>
      </c>
      <c r="D487" s="5">
        <v>73503</v>
      </c>
      <c r="E487">
        <v>49014.46</v>
      </c>
      <c r="F487" t="s">
        <v>14</v>
      </c>
      <c r="G487">
        <v>324</v>
      </c>
      <c r="H487" s="1">
        <f t="shared" si="7"/>
        <v>50525</v>
      </c>
      <c r="I487" t="s">
        <v>15</v>
      </c>
      <c r="J487" s="1">
        <v>40662</v>
      </c>
      <c r="K487" t="s">
        <v>39</v>
      </c>
      <c r="L487" s="3">
        <v>7.8200000000000006E-2</v>
      </c>
      <c r="M487" t="s">
        <v>17</v>
      </c>
      <c r="N487" t="s">
        <v>42</v>
      </c>
      <c r="O487">
        <v>83352.61</v>
      </c>
      <c r="P487" s="1">
        <v>46022</v>
      </c>
      <c r="R487" s="7"/>
      <c r="S487" s="7"/>
    </row>
    <row r="488" spans="1:19" x14ac:dyDescent="0.3">
      <c r="A488" t="s">
        <v>536</v>
      </c>
      <c r="B488" t="s">
        <v>24</v>
      </c>
      <c r="C488" t="s">
        <v>28</v>
      </c>
      <c r="D488" s="5">
        <v>34732</v>
      </c>
      <c r="E488">
        <v>16077.01</v>
      </c>
      <c r="F488" t="s">
        <v>14</v>
      </c>
      <c r="G488">
        <v>216</v>
      </c>
      <c r="H488" s="1">
        <f t="shared" si="7"/>
        <v>48334</v>
      </c>
      <c r="I488" t="s">
        <v>15</v>
      </c>
      <c r="J488" s="1">
        <v>41739</v>
      </c>
      <c r="K488" t="s">
        <v>39</v>
      </c>
      <c r="L488" s="3">
        <v>6.6100000000000006E-2</v>
      </c>
      <c r="M488" t="s">
        <v>29</v>
      </c>
      <c r="N488" t="s">
        <v>30</v>
      </c>
      <c r="O488">
        <v>0</v>
      </c>
      <c r="P488" s="1">
        <v>46022</v>
      </c>
      <c r="R488" s="7"/>
      <c r="S488" s="7"/>
    </row>
    <row r="489" spans="1:19" x14ac:dyDescent="0.3">
      <c r="A489" t="s">
        <v>537</v>
      </c>
      <c r="B489" t="s">
        <v>12</v>
      </c>
      <c r="C489" t="s">
        <v>61</v>
      </c>
      <c r="D489" s="5">
        <v>19353091</v>
      </c>
      <c r="E489">
        <v>15040411.67</v>
      </c>
      <c r="F489" t="s">
        <v>14</v>
      </c>
      <c r="G489">
        <v>342</v>
      </c>
      <c r="H489" s="1">
        <f t="shared" si="7"/>
        <v>55457</v>
      </c>
      <c r="I489" t="s">
        <v>15</v>
      </c>
      <c r="J489" s="1">
        <v>45023</v>
      </c>
      <c r="K489" t="s">
        <v>22</v>
      </c>
      <c r="L489" s="3">
        <v>7.85E-2</v>
      </c>
      <c r="M489" t="s">
        <v>29</v>
      </c>
      <c r="N489" t="s">
        <v>30</v>
      </c>
      <c r="O489">
        <v>0</v>
      </c>
      <c r="P489" s="1">
        <v>46022</v>
      </c>
      <c r="R489" s="7"/>
      <c r="S489" s="7"/>
    </row>
    <row r="490" spans="1:19" x14ac:dyDescent="0.3">
      <c r="A490" t="s">
        <v>538</v>
      </c>
      <c r="B490" t="s">
        <v>12</v>
      </c>
      <c r="C490" t="s">
        <v>61</v>
      </c>
      <c r="D490" s="5">
        <v>9176150</v>
      </c>
      <c r="E490">
        <v>5305325.18</v>
      </c>
      <c r="F490" t="s">
        <v>33</v>
      </c>
      <c r="G490">
        <v>330</v>
      </c>
      <c r="H490" s="1">
        <f t="shared" si="7"/>
        <v>52262</v>
      </c>
      <c r="I490" t="s">
        <v>15</v>
      </c>
      <c r="J490" s="1">
        <v>42187</v>
      </c>
      <c r="K490" t="s">
        <v>22</v>
      </c>
      <c r="L490" s="3">
        <v>4.8399999999999999E-2</v>
      </c>
      <c r="M490" t="s">
        <v>17</v>
      </c>
      <c r="N490" t="s">
        <v>54</v>
      </c>
      <c r="O490">
        <v>14868518.449999999</v>
      </c>
      <c r="P490" s="1">
        <v>46022</v>
      </c>
      <c r="R490" s="7"/>
      <c r="S490" s="7"/>
    </row>
    <row r="491" spans="1:19" x14ac:dyDescent="0.3">
      <c r="A491" t="s">
        <v>539</v>
      </c>
      <c r="B491" t="s">
        <v>24</v>
      </c>
      <c r="C491" t="s">
        <v>41</v>
      </c>
      <c r="D491" s="5">
        <v>48748</v>
      </c>
      <c r="E491">
        <v>34595.919999999998</v>
      </c>
      <c r="F491" t="s">
        <v>14</v>
      </c>
      <c r="G491">
        <v>150</v>
      </c>
      <c r="H491" s="1">
        <f t="shared" si="7"/>
        <v>46630</v>
      </c>
      <c r="I491" t="s">
        <v>15</v>
      </c>
      <c r="J491" s="1">
        <v>42039</v>
      </c>
      <c r="K491" t="s">
        <v>22</v>
      </c>
      <c r="L491" s="3">
        <v>4.3099999999999999E-2</v>
      </c>
      <c r="M491" t="s">
        <v>17</v>
      </c>
      <c r="N491" t="s">
        <v>42</v>
      </c>
      <c r="O491">
        <v>58256.59</v>
      </c>
      <c r="P491" s="1">
        <v>46022</v>
      </c>
      <c r="R491" s="7"/>
      <c r="S491" s="7"/>
    </row>
    <row r="492" spans="1:19" x14ac:dyDescent="0.3">
      <c r="A492" t="s">
        <v>540</v>
      </c>
      <c r="B492" t="s">
        <v>24</v>
      </c>
      <c r="C492" t="s">
        <v>32</v>
      </c>
      <c r="D492" s="5">
        <v>7987</v>
      </c>
      <c r="E492">
        <v>3878.64</v>
      </c>
      <c r="F492" t="s">
        <v>33</v>
      </c>
      <c r="G492">
        <v>96</v>
      </c>
      <c r="H492" s="1">
        <f t="shared" si="7"/>
        <v>45199</v>
      </c>
      <c r="I492" t="s">
        <v>15</v>
      </c>
      <c r="J492" s="1">
        <v>42270</v>
      </c>
      <c r="K492" t="s">
        <v>35</v>
      </c>
      <c r="L492" s="3">
        <v>3.2500000000000001E-2</v>
      </c>
      <c r="M492" t="s">
        <v>29</v>
      </c>
      <c r="N492" t="s">
        <v>30</v>
      </c>
      <c r="O492">
        <v>0</v>
      </c>
      <c r="P492" s="1">
        <v>46022</v>
      </c>
      <c r="R492" s="7"/>
      <c r="S492" s="7"/>
    </row>
    <row r="493" spans="1:19" x14ac:dyDescent="0.3">
      <c r="A493" t="s">
        <v>541</v>
      </c>
      <c r="B493" t="s">
        <v>37</v>
      </c>
      <c r="C493" t="s">
        <v>74</v>
      </c>
      <c r="D493" s="5">
        <v>446147547</v>
      </c>
      <c r="E493">
        <v>338334572.69999999</v>
      </c>
      <c r="F493" t="s">
        <v>33</v>
      </c>
      <c r="G493">
        <v>348</v>
      </c>
      <c r="H493" s="1">
        <f t="shared" si="7"/>
        <v>56096</v>
      </c>
      <c r="I493" t="s">
        <v>15</v>
      </c>
      <c r="J493" s="1">
        <v>45474</v>
      </c>
      <c r="K493" t="s">
        <v>56</v>
      </c>
      <c r="L493" s="3">
        <v>5.3200000000000004E-2</v>
      </c>
      <c r="M493" t="s">
        <v>17</v>
      </c>
      <c r="N493" t="s">
        <v>42</v>
      </c>
      <c r="O493">
        <v>670020068.89999998</v>
      </c>
      <c r="P493" s="1">
        <v>46022</v>
      </c>
      <c r="R493" s="7"/>
      <c r="S493" s="7"/>
    </row>
    <row r="494" spans="1:19" x14ac:dyDescent="0.3">
      <c r="A494" t="s">
        <v>542</v>
      </c>
      <c r="B494" t="s">
        <v>12</v>
      </c>
      <c r="C494" t="s">
        <v>61</v>
      </c>
      <c r="D494" s="5">
        <v>17947996</v>
      </c>
      <c r="E494">
        <v>15112649.6</v>
      </c>
      <c r="F494" t="s">
        <v>48</v>
      </c>
      <c r="G494">
        <v>114</v>
      </c>
      <c r="H494" s="1">
        <f t="shared" si="7"/>
        <v>47968</v>
      </c>
      <c r="I494" t="s">
        <v>15</v>
      </c>
      <c r="J494" s="1">
        <v>44476</v>
      </c>
      <c r="K494" t="s">
        <v>22</v>
      </c>
      <c r="L494" s="3">
        <v>4.3799999999999999E-2</v>
      </c>
      <c r="M494" t="s">
        <v>29</v>
      </c>
      <c r="N494" t="s">
        <v>30</v>
      </c>
      <c r="O494">
        <v>0</v>
      </c>
      <c r="P494" s="1">
        <v>46022</v>
      </c>
      <c r="R494" s="7"/>
      <c r="S494" s="7"/>
    </row>
    <row r="495" spans="1:19" x14ac:dyDescent="0.3">
      <c r="A495" t="s">
        <v>543</v>
      </c>
      <c r="B495" t="s">
        <v>20</v>
      </c>
      <c r="C495" t="s">
        <v>21</v>
      </c>
      <c r="D495" s="5">
        <v>814576</v>
      </c>
      <c r="E495" s="4">
        <v>188812.66</v>
      </c>
      <c r="F495" t="s">
        <v>14</v>
      </c>
      <c r="G495">
        <v>60</v>
      </c>
      <c r="H495" s="1">
        <f t="shared" si="7"/>
        <v>45473</v>
      </c>
      <c r="I495" t="s">
        <v>15</v>
      </c>
      <c r="J495" s="1">
        <v>43633</v>
      </c>
      <c r="K495" t="s">
        <v>101</v>
      </c>
      <c r="L495" s="3">
        <v>0.1426</v>
      </c>
      <c r="M495" t="s">
        <v>29</v>
      </c>
      <c r="N495" t="s">
        <v>30</v>
      </c>
      <c r="O495">
        <v>0</v>
      </c>
      <c r="P495" s="1">
        <v>46022</v>
      </c>
      <c r="R495" s="7"/>
      <c r="S495" s="7"/>
    </row>
    <row r="496" spans="1:19" x14ac:dyDescent="0.3">
      <c r="A496" t="s">
        <v>544</v>
      </c>
      <c r="B496" t="s">
        <v>20</v>
      </c>
      <c r="C496" t="s">
        <v>21</v>
      </c>
      <c r="D496" s="5">
        <v>175966</v>
      </c>
      <c r="E496">
        <v>149507.53</v>
      </c>
      <c r="F496" t="s">
        <v>14</v>
      </c>
      <c r="G496">
        <v>60</v>
      </c>
      <c r="H496" s="1">
        <f t="shared" si="7"/>
        <v>47361</v>
      </c>
      <c r="I496" t="s">
        <v>15</v>
      </c>
      <c r="J496" s="1">
        <v>45518</v>
      </c>
      <c r="K496" t="s">
        <v>35</v>
      </c>
      <c r="L496" s="3">
        <v>5.96E-2</v>
      </c>
      <c r="M496" t="s">
        <v>17</v>
      </c>
      <c r="N496" t="s">
        <v>26</v>
      </c>
      <c r="O496">
        <v>286670.82</v>
      </c>
      <c r="P496" s="1">
        <v>46022</v>
      </c>
      <c r="R496" s="7"/>
      <c r="S496" s="7"/>
    </row>
    <row r="497" spans="1:19" x14ac:dyDescent="0.3">
      <c r="A497" t="s">
        <v>545</v>
      </c>
      <c r="B497" t="s">
        <v>24</v>
      </c>
      <c r="C497" t="s">
        <v>41</v>
      </c>
      <c r="D497" s="5">
        <v>68124</v>
      </c>
      <c r="E497">
        <v>39938.85</v>
      </c>
      <c r="F497" t="s">
        <v>14</v>
      </c>
      <c r="G497">
        <v>306</v>
      </c>
      <c r="H497" s="1">
        <f t="shared" si="7"/>
        <v>53692</v>
      </c>
      <c r="I497" t="s">
        <v>15</v>
      </c>
      <c r="J497" s="1">
        <v>44364</v>
      </c>
      <c r="K497" t="s">
        <v>56</v>
      </c>
      <c r="L497" s="3">
        <v>1.9299999999999998E-2</v>
      </c>
      <c r="M497" t="s">
        <v>17</v>
      </c>
      <c r="N497" t="s">
        <v>42</v>
      </c>
      <c r="O497">
        <v>69184.12</v>
      </c>
      <c r="P497" s="1">
        <v>46022</v>
      </c>
      <c r="R497" s="7"/>
      <c r="S497" s="7"/>
    </row>
    <row r="498" spans="1:19" x14ac:dyDescent="0.3">
      <c r="A498" t="s">
        <v>546</v>
      </c>
      <c r="B498" t="s">
        <v>24</v>
      </c>
      <c r="C498" t="s">
        <v>32</v>
      </c>
      <c r="D498" s="5">
        <v>32208</v>
      </c>
      <c r="E498">
        <v>27705.48</v>
      </c>
      <c r="F498" t="s">
        <v>33</v>
      </c>
      <c r="G498">
        <v>132</v>
      </c>
      <c r="H498" s="1">
        <f t="shared" si="7"/>
        <v>49340</v>
      </c>
      <c r="I498" t="s">
        <v>15</v>
      </c>
      <c r="J498" s="1">
        <v>45294</v>
      </c>
      <c r="K498" t="s">
        <v>39</v>
      </c>
      <c r="L498" s="3">
        <v>8.900000000000001E-2</v>
      </c>
      <c r="M498" t="s">
        <v>29</v>
      </c>
      <c r="N498" t="s">
        <v>30</v>
      </c>
      <c r="O498">
        <v>0</v>
      </c>
      <c r="P498" s="1">
        <v>46022</v>
      </c>
      <c r="R498" s="7"/>
      <c r="S498" s="7"/>
    </row>
    <row r="499" spans="1:19" x14ac:dyDescent="0.3">
      <c r="A499" t="s">
        <v>547</v>
      </c>
      <c r="B499" t="s">
        <v>24</v>
      </c>
      <c r="C499" t="s">
        <v>25</v>
      </c>
      <c r="D499" s="5">
        <v>406544</v>
      </c>
      <c r="E499">
        <v>198463.09</v>
      </c>
      <c r="F499" t="s">
        <v>14</v>
      </c>
      <c r="G499">
        <v>144</v>
      </c>
      <c r="H499" s="1">
        <f t="shared" si="7"/>
        <v>47299</v>
      </c>
      <c r="I499" t="s">
        <v>15</v>
      </c>
      <c r="J499" s="1">
        <v>42898</v>
      </c>
      <c r="K499" t="s">
        <v>22</v>
      </c>
      <c r="L499" s="3">
        <v>4.87E-2</v>
      </c>
      <c r="M499" t="s">
        <v>17</v>
      </c>
      <c r="N499" t="s">
        <v>26</v>
      </c>
      <c r="O499">
        <v>533100.68999999994</v>
      </c>
      <c r="P499" s="1">
        <v>46022</v>
      </c>
      <c r="R499" s="7"/>
      <c r="S499" s="7"/>
    </row>
    <row r="500" spans="1:19" x14ac:dyDescent="0.3">
      <c r="A500" t="s">
        <v>548</v>
      </c>
      <c r="B500" t="s">
        <v>12</v>
      </c>
      <c r="C500" t="s">
        <v>26</v>
      </c>
      <c r="D500" s="5">
        <v>4513883</v>
      </c>
      <c r="E500">
        <v>1991238.06</v>
      </c>
      <c r="F500" t="s">
        <v>33</v>
      </c>
      <c r="G500">
        <v>258</v>
      </c>
      <c r="H500" s="1">
        <f t="shared" si="7"/>
        <v>50009</v>
      </c>
      <c r="I500" t="s">
        <v>15</v>
      </c>
      <c r="J500" s="1">
        <v>42136</v>
      </c>
      <c r="K500" t="s">
        <v>39</v>
      </c>
      <c r="L500" s="3">
        <v>7.0499999999999993E-2</v>
      </c>
      <c r="M500" t="s">
        <v>17</v>
      </c>
      <c r="N500" t="s">
        <v>42</v>
      </c>
      <c r="O500">
        <v>5924417.8300000001</v>
      </c>
      <c r="P500" s="1">
        <v>46022</v>
      </c>
      <c r="R500" s="7"/>
      <c r="S500" s="7"/>
    </row>
    <row r="501" spans="1:19" x14ac:dyDescent="0.3">
      <c r="A501" t="s">
        <v>549</v>
      </c>
      <c r="B501" t="s">
        <v>37</v>
      </c>
      <c r="C501" t="s">
        <v>92</v>
      </c>
      <c r="D501" s="5">
        <v>210718159</v>
      </c>
      <c r="E501">
        <v>194609737.09999999</v>
      </c>
      <c r="F501" t="s">
        <v>48</v>
      </c>
      <c r="G501">
        <v>270</v>
      </c>
      <c r="H501" s="1">
        <f t="shared" si="7"/>
        <v>52047</v>
      </c>
      <c r="I501" t="s">
        <v>15</v>
      </c>
      <c r="J501" s="1">
        <v>43823</v>
      </c>
      <c r="K501" t="s">
        <v>39</v>
      </c>
      <c r="L501" s="3">
        <v>6.6199999999999995E-2</v>
      </c>
      <c r="M501" t="s">
        <v>17</v>
      </c>
      <c r="N501" t="s">
        <v>26</v>
      </c>
      <c r="O501">
        <v>259569074.5</v>
      </c>
      <c r="P501" s="1">
        <v>46022</v>
      </c>
      <c r="R501" s="7"/>
      <c r="S501" s="7"/>
    </row>
    <row r="502" spans="1:19" x14ac:dyDescent="0.3">
      <c r="A502" t="s">
        <v>550</v>
      </c>
      <c r="B502" t="s">
        <v>24</v>
      </c>
      <c r="C502" t="s">
        <v>25</v>
      </c>
      <c r="D502" s="5">
        <v>380096</v>
      </c>
      <c r="E502">
        <v>123931.11</v>
      </c>
      <c r="F502" t="s">
        <v>14</v>
      </c>
      <c r="G502">
        <v>312</v>
      </c>
      <c r="H502" s="1">
        <f t="shared" si="7"/>
        <v>54482</v>
      </c>
      <c r="I502" t="s">
        <v>15</v>
      </c>
      <c r="J502" s="1">
        <v>44967</v>
      </c>
      <c r="K502" t="s">
        <v>16</v>
      </c>
      <c r="L502" s="3">
        <v>0.1232</v>
      </c>
      <c r="M502" t="s">
        <v>17</v>
      </c>
      <c r="N502" t="s">
        <v>26</v>
      </c>
      <c r="O502">
        <v>514713.48</v>
      </c>
      <c r="P502" s="1">
        <v>46022</v>
      </c>
      <c r="R502" s="7"/>
      <c r="S502" s="7"/>
    </row>
    <row r="503" spans="1:19" x14ac:dyDescent="0.3">
      <c r="A503" t="s">
        <v>551</v>
      </c>
      <c r="B503" t="s">
        <v>20</v>
      </c>
      <c r="C503" t="s">
        <v>21</v>
      </c>
      <c r="D503" s="5">
        <v>3401747</v>
      </c>
      <c r="E503">
        <v>2924791.92</v>
      </c>
      <c r="F503" t="s">
        <v>48</v>
      </c>
      <c r="G503">
        <v>222</v>
      </c>
      <c r="H503" s="1">
        <f t="shared" si="7"/>
        <v>49948</v>
      </c>
      <c r="I503" t="s">
        <v>15</v>
      </c>
      <c r="J503" s="1">
        <v>43182</v>
      </c>
      <c r="K503" t="s">
        <v>22</v>
      </c>
      <c r="L503" s="3">
        <v>5.45E-2</v>
      </c>
      <c r="M503" t="s">
        <v>17</v>
      </c>
      <c r="N503" t="s">
        <v>26</v>
      </c>
      <c r="O503">
        <v>5345782.71</v>
      </c>
      <c r="P503" s="1">
        <v>46022</v>
      </c>
      <c r="R503" s="7"/>
      <c r="S503" s="7"/>
    </row>
    <row r="504" spans="1:19" x14ac:dyDescent="0.3">
      <c r="A504" t="s">
        <v>552</v>
      </c>
      <c r="B504" t="s">
        <v>24</v>
      </c>
      <c r="C504" t="s">
        <v>41</v>
      </c>
      <c r="D504" s="5">
        <v>64520</v>
      </c>
      <c r="E504">
        <v>34558.18</v>
      </c>
      <c r="F504" t="s">
        <v>14</v>
      </c>
      <c r="G504">
        <v>318</v>
      </c>
      <c r="H504" s="1">
        <f t="shared" si="7"/>
        <v>52109</v>
      </c>
      <c r="I504" t="s">
        <v>15</v>
      </c>
      <c r="J504" s="1">
        <v>42402</v>
      </c>
      <c r="K504" t="s">
        <v>39</v>
      </c>
      <c r="L504" s="3">
        <v>5.8400000000000001E-2</v>
      </c>
      <c r="M504" t="s">
        <v>17</v>
      </c>
      <c r="N504" t="s">
        <v>42</v>
      </c>
      <c r="O504">
        <v>71509.53</v>
      </c>
      <c r="P504" s="1">
        <v>46022</v>
      </c>
      <c r="R504" s="7"/>
      <c r="S504" s="7"/>
    </row>
    <row r="505" spans="1:19" x14ac:dyDescent="0.3">
      <c r="A505" t="s">
        <v>553</v>
      </c>
      <c r="B505" t="s">
        <v>24</v>
      </c>
      <c r="C505" t="s">
        <v>28</v>
      </c>
      <c r="D505" s="5">
        <v>18865</v>
      </c>
      <c r="E505">
        <v>10615.12</v>
      </c>
      <c r="F505" t="s">
        <v>33</v>
      </c>
      <c r="G505">
        <v>216</v>
      </c>
      <c r="H505" s="1">
        <f t="shared" si="7"/>
        <v>49460</v>
      </c>
      <c r="I505" t="s">
        <v>15</v>
      </c>
      <c r="J505" s="1">
        <v>42859</v>
      </c>
      <c r="K505" t="s">
        <v>22</v>
      </c>
      <c r="L505" s="3">
        <v>4.6199999999999998E-2</v>
      </c>
      <c r="M505" t="s">
        <v>29</v>
      </c>
      <c r="N505" t="s">
        <v>30</v>
      </c>
      <c r="O505">
        <v>0</v>
      </c>
      <c r="P505" s="1">
        <v>46022</v>
      </c>
      <c r="R505" s="7"/>
      <c r="S505" s="7"/>
    </row>
    <row r="506" spans="1:19" x14ac:dyDescent="0.3">
      <c r="A506" t="s">
        <v>554</v>
      </c>
      <c r="B506" t="s">
        <v>24</v>
      </c>
      <c r="C506" t="s">
        <v>25</v>
      </c>
      <c r="D506" s="5">
        <v>296103</v>
      </c>
      <c r="E506">
        <v>111814.96</v>
      </c>
      <c r="F506" t="s">
        <v>14</v>
      </c>
      <c r="G506">
        <v>216</v>
      </c>
      <c r="H506" s="1">
        <f t="shared" si="7"/>
        <v>49948</v>
      </c>
      <c r="I506" t="s">
        <v>15</v>
      </c>
      <c r="J506" s="1">
        <v>43354</v>
      </c>
      <c r="K506" t="s">
        <v>39</v>
      </c>
      <c r="L506" s="3">
        <v>7.4800000000000005E-2</v>
      </c>
      <c r="M506" t="s">
        <v>17</v>
      </c>
      <c r="N506" t="s">
        <v>26</v>
      </c>
      <c r="O506">
        <v>352772.1</v>
      </c>
      <c r="P506" s="1">
        <v>46022</v>
      </c>
      <c r="R506" s="7"/>
      <c r="S506" s="7"/>
    </row>
    <row r="507" spans="1:19" x14ac:dyDescent="0.3">
      <c r="A507" t="s">
        <v>555</v>
      </c>
      <c r="B507" t="s">
        <v>12</v>
      </c>
      <c r="C507" t="s">
        <v>63</v>
      </c>
      <c r="D507" s="5">
        <v>49413762</v>
      </c>
      <c r="E507">
        <v>30425930.23</v>
      </c>
      <c r="F507" t="s">
        <v>14</v>
      </c>
      <c r="G507">
        <v>240</v>
      </c>
      <c r="H507" s="1">
        <f t="shared" si="7"/>
        <v>50130</v>
      </c>
      <c r="I507" t="s">
        <v>15</v>
      </c>
      <c r="J507" s="1">
        <v>42821</v>
      </c>
      <c r="K507" t="s">
        <v>22</v>
      </c>
      <c r="L507" s="3">
        <v>5.2499999999999998E-2</v>
      </c>
      <c r="M507" t="s">
        <v>17</v>
      </c>
      <c r="N507" t="s">
        <v>18</v>
      </c>
      <c r="O507">
        <v>59779710.340000004</v>
      </c>
      <c r="P507" s="1">
        <v>46022</v>
      </c>
      <c r="R507" s="7"/>
      <c r="S507" s="7"/>
    </row>
    <row r="508" spans="1:19" x14ac:dyDescent="0.3">
      <c r="A508" t="s">
        <v>556</v>
      </c>
      <c r="B508" t="s">
        <v>24</v>
      </c>
      <c r="C508" t="s">
        <v>41</v>
      </c>
      <c r="D508" s="5">
        <v>50860</v>
      </c>
      <c r="E508">
        <v>19972.28</v>
      </c>
      <c r="F508" t="s">
        <v>14</v>
      </c>
      <c r="G508">
        <v>216</v>
      </c>
      <c r="H508" s="1">
        <f t="shared" si="7"/>
        <v>46812</v>
      </c>
      <c r="I508" t="s">
        <v>15</v>
      </c>
      <c r="J508" s="1">
        <v>40220</v>
      </c>
      <c r="K508" t="s">
        <v>35</v>
      </c>
      <c r="L508" s="3">
        <v>5.0599999999999999E-2</v>
      </c>
      <c r="M508" t="s">
        <v>17</v>
      </c>
      <c r="N508" t="s">
        <v>42</v>
      </c>
      <c r="O508">
        <v>56541.75</v>
      </c>
      <c r="P508" s="1">
        <v>46022</v>
      </c>
      <c r="R508" s="7"/>
      <c r="S508" s="7"/>
    </row>
    <row r="509" spans="1:19" x14ac:dyDescent="0.3">
      <c r="A509" t="s">
        <v>557</v>
      </c>
      <c r="B509" t="s">
        <v>24</v>
      </c>
      <c r="C509" t="s">
        <v>28</v>
      </c>
      <c r="D509" s="5">
        <v>34725</v>
      </c>
      <c r="E509">
        <v>4699.83</v>
      </c>
      <c r="F509" t="s">
        <v>33</v>
      </c>
      <c r="G509">
        <v>312</v>
      </c>
      <c r="H509" s="1">
        <f t="shared" si="7"/>
        <v>50678</v>
      </c>
      <c r="I509" t="s">
        <v>15</v>
      </c>
      <c r="J509" s="1">
        <v>41173</v>
      </c>
      <c r="K509" t="s">
        <v>22</v>
      </c>
      <c r="L509" s="3">
        <v>4.0300000000000002E-2</v>
      </c>
      <c r="M509" t="s">
        <v>29</v>
      </c>
      <c r="N509" t="s">
        <v>30</v>
      </c>
      <c r="O509">
        <v>0</v>
      </c>
      <c r="P509" s="1">
        <v>46022</v>
      </c>
      <c r="R509" s="7"/>
      <c r="S509" s="7"/>
    </row>
    <row r="510" spans="1:19" x14ac:dyDescent="0.3">
      <c r="A510" t="s">
        <v>558</v>
      </c>
      <c r="B510" t="s">
        <v>24</v>
      </c>
      <c r="C510" t="s">
        <v>32</v>
      </c>
      <c r="D510" s="5">
        <v>7887</v>
      </c>
      <c r="E510">
        <v>2719.46</v>
      </c>
      <c r="F510" t="s">
        <v>33</v>
      </c>
      <c r="G510">
        <v>318</v>
      </c>
      <c r="H510" s="1">
        <f t="shared" si="7"/>
        <v>51317</v>
      </c>
      <c r="I510" t="s">
        <v>15</v>
      </c>
      <c r="J510" s="1">
        <v>41620</v>
      </c>
      <c r="K510" t="s">
        <v>22</v>
      </c>
      <c r="L510" s="3">
        <v>4.5199999999999997E-2</v>
      </c>
      <c r="M510" t="s">
        <v>29</v>
      </c>
      <c r="N510" t="s">
        <v>30</v>
      </c>
      <c r="O510">
        <v>0</v>
      </c>
      <c r="P510" s="1">
        <v>46022</v>
      </c>
      <c r="R510" s="7"/>
      <c r="S510" s="7"/>
    </row>
    <row r="511" spans="1:19" x14ac:dyDescent="0.3">
      <c r="A511" t="s">
        <v>559</v>
      </c>
      <c r="B511" t="s">
        <v>12</v>
      </c>
      <c r="C511" t="s">
        <v>26</v>
      </c>
      <c r="D511" s="5">
        <v>24793895</v>
      </c>
      <c r="E511">
        <v>2621734.73</v>
      </c>
      <c r="F511" t="s">
        <v>33</v>
      </c>
      <c r="G511">
        <v>108</v>
      </c>
      <c r="H511" s="1">
        <f t="shared" si="7"/>
        <v>46387</v>
      </c>
      <c r="I511" t="s">
        <v>15</v>
      </c>
      <c r="J511" s="1">
        <v>43098</v>
      </c>
      <c r="K511" t="s">
        <v>39</v>
      </c>
      <c r="L511" s="3">
        <v>6.5000000000000002E-2</v>
      </c>
      <c r="M511" t="s">
        <v>29</v>
      </c>
      <c r="N511" t="s">
        <v>30</v>
      </c>
      <c r="O511">
        <v>0</v>
      </c>
      <c r="P511" s="1">
        <v>46022</v>
      </c>
      <c r="R511" s="7"/>
      <c r="S511" s="7"/>
    </row>
    <row r="512" spans="1:19" x14ac:dyDescent="0.3">
      <c r="A512" t="s">
        <v>560</v>
      </c>
      <c r="B512" t="s">
        <v>24</v>
      </c>
      <c r="C512" t="s">
        <v>28</v>
      </c>
      <c r="D512" s="5">
        <v>2349</v>
      </c>
      <c r="E512">
        <v>2303.5300000000002</v>
      </c>
      <c r="F512" t="s">
        <v>33</v>
      </c>
      <c r="G512">
        <v>300</v>
      </c>
      <c r="H512" s="1">
        <f t="shared" si="7"/>
        <v>51379</v>
      </c>
      <c r="I512" t="s">
        <v>15</v>
      </c>
      <c r="J512" s="1">
        <v>42226</v>
      </c>
      <c r="K512" t="s">
        <v>39</v>
      </c>
      <c r="L512" s="3">
        <v>7.0199999999999999E-2</v>
      </c>
      <c r="M512" t="s">
        <v>29</v>
      </c>
      <c r="N512" t="s">
        <v>30</v>
      </c>
      <c r="O512">
        <v>0</v>
      </c>
      <c r="P512" s="1">
        <v>46022</v>
      </c>
      <c r="R512" s="7"/>
      <c r="S512" s="7"/>
    </row>
    <row r="513" spans="1:19" x14ac:dyDescent="0.3">
      <c r="A513" t="s">
        <v>561</v>
      </c>
      <c r="B513" t="s">
        <v>24</v>
      </c>
      <c r="C513" t="s">
        <v>41</v>
      </c>
      <c r="D513" s="5">
        <v>55491</v>
      </c>
      <c r="E513">
        <v>53780.31</v>
      </c>
      <c r="F513" t="s">
        <v>14</v>
      </c>
      <c r="G513">
        <v>96</v>
      </c>
      <c r="H513" s="1">
        <f t="shared" si="7"/>
        <v>48304</v>
      </c>
      <c r="I513" t="s">
        <v>15</v>
      </c>
      <c r="J513" s="1">
        <v>45358</v>
      </c>
      <c r="K513" t="s">
        <v>39</v>
      </c>
      <c r="L513" s="3">
        <v>9.35E-2</v>
      </c>
      <c r="M513" t="s">
        <v>17</v>
      </c>
      <c r="N513" t="s">
        <v>42</v>
      </c>
      <c r="O513">
        <v>67510.820000000007</v>
      </c>
      <c r="P513" s="1">
        <v>46022</v>
      </c>
      <c r="R513" s="7"/>
      <c r="S513" s="7"/>
    </row>
    <row r="514" spans="1:19" x14ac:dyDescent="0.3">
      <c r="A514" t="s">
        <v>562</v>
      </c>
      <c r="B514" t="s">
        <v>12</v>
      </c>
      <c r="C514" t="s">
        <v>63</v>
      </c>
      <c r="D514" s="5">
        <v>48236853</v>
      </c>
      <c r="E514">
        <v>21978628.469999999</v>
      </c>
      <c r="F514" t="s">
        <v>33</v>
      </c>
      <c r="G514">
        <v>246</v>
      </c>
      <c r="H514" s="1">
        <f t="shared" ref="H514:H577" si="8">EOMONTH(J514,G514)</f>
        <v>51713</v>
      </c>
      <c r="I514" t="s">
        <v>15</v>
      </c>
      <c r="J514" s="1">
        <v>44218</v>
      </c>
      <c r="K514" t="s">
        <v>35</v>
      </c>
      <c r="L514" s="3">
        <v>3.1699999999999999E-2</v>
      </c>
      <c r="M514" t="s">
        <v>17</v>
      </c>
      <c r="N514" t="s">
        <v>18</v>
      </c>
      <c r="O514">
        <v>57644282.240000002</v>
      </c>
      <c r="P514" s="1">
        <v>46022</v>
      </c>
      <c r="R514" s="7"/>
      <c r="S514" s="7"/>
    </row>
    <row r="515" spans="1:19" x14ac:dyDescent="0.3">
      <c r="A515" t="s">
        <v>563</v>
      </c>
      <c r="B515" t="s">
        <v>20</v>
      </c>
      <c r="C515" t="s">
        <v>21</v>
      </c>
      <c r="D515" s="5">
        <v>1951823</v>
      </c>
      <c r="E515">
        <v>1474668.36</v>
      </c>
      <c r="F515" t="s">
        <v>14</v>
      </c>
      <c r="G515">
        <v>108</v>
      </c>
      <c r="H515" s="1">
        <f t="shared" si="8"/>
        <v>48669</v>
      </c>
      <c r="I515" t="s">
        <v>15</v>
      </c>
      <c r="J515" s="1">
        <v>45364</v>
      </c>
      <c r="K515" t="s">
        <v>39</v>
      </c>
      <c r="L515" s="3">
        <v>8.8900000000000007E-2</v>
      </c>
      <c r="M515" t="s">
        <v>17</v>
      </c>
      <c r="N515" t="s">
        <v>18</v>
      </c>
      <c r="O515">
        <v>2602355</v>
      </c>
      <c r="P515" s="1">
        <v>46022</v>
      </c>
      <c r="R515" s="7"/>
      <c r="S515" s="7"/>
    </row>
    <row r="516" spans="1:19" x14ac:dyDescent="0.3">
      <c r="A516" t="s">
        <v>564</v>
      </c>
      <c r="B516" t="s">
        <v>12</v>
      </c>
      <c r="C516" t="s">
        <v>26</v>
      </c>
      <c r="D516" s="5">
        <v>2910805</v>
      </c>
      <c r="E516">
        <v>1196997.05</v>
      </c>
      <c r="F516" t="s">
        <v>33</v>
      </c>
      <c r="G516">
        <v>132</v>
      </c>
      <c r="H516" s="1">
        <f t="shared" si="8"/>
        <v>49125</v>
      </c>
      <c r="I516" t="s">
        <v>15</v>
      </c>
      <c r="J516" s="1">
        <v>45097</v>
      </c>
      <c r="K516" t="s">
        <v>22</v>
      </c>
      <c r="L516" s="3">
        <v>7.4999999999999997E-2</v>
      </c>
      <c r="M516" t="s">
        <v>29</v>
      </c>
      <c r="N516" t="s">
        <v>30</v>
      </c>
      <c r="O516">
        <v>0</v>
      </c>
      <c r="P516" s="1">
        <v>46022</v>
      </c>
      <c r="R516" s="7"/>
      <c r="S516" s="7"/>
    </row>
    <row r="517" spans="1:19" x14ac:dyDescent="0.3">
      <c r="A517" t="s">
        <v>565</v>
      </c>
      <c r="B517" t="s">
        <v>24</v>
      </c>
      <c r="C517" t="s">
        <v>32</v>
      </c>
      <c r="D517" s="5">
        <v>2517</v>
      </c>
      <c r="E517">
        <v>1771.81</v>
      </c>
      <c r="F517" t="s">
        <v>33</v>
      </c>
      <c r="G517">
        <v>120</v>
      </c>
      <c r="H517" s="1">
        <f t="shared" si="8"/>
        <v>48060</v>
      </c>
      <c r="I517" t="s">
        <v>15</v>
      </c>
      <c r="J517" s="1">
        <v>44407</v>
      </c>
      <c r="K517" t="s">
        <v>16</v>
      </c>
      <c r="L517" s="3">
        <v>8.3599999999999994E-2</v>
      </c>
      <c r="M517" t="s">
        <v>29</v>
      </c>
      <c r="N517" t="s">
        <v>30</v>
      </c>
      <c r="O517">
        <v>0</v>
      </c>
      <c r="P517" s="1">
        <v>46022</v>
      </c>
      <c r="R517" s="7"/>
      <c r="S517" s="7"/>
    </row>
    <row r="518" spans="1:19" x14ac:dyDescent="0.3">
      <c r="A518" t="s">
        <v>566</v>
      </c>
      <c r="B518" t="s">
        <v>24</v>
      </c>
      <c r="C518" t="s">
        <v>25</v>
      </c>
      <c r="D518" s="5">
        <v>449188</v>
      </c>
      <c r="E518">
        <v>370529.43</v>
      </c>
      <c r="F518" t="s">
        <v>14</v>
      </c>
      <c r="G518">
        <v>126</v>
      </c>
      <c r="H518" s="1">
        <f t="shared" si="8"/>
        <v>46387</v>
      </c>
      <c r="I518" t="s">
        <v>15</v>
      </c>
      <c r="J518" s="1">
        <v>42528</v>
      </c>
      <c r="K518" t="s">
        <v>16</v>
      </c>
      <c r="L518" s="3">
        <v>8.5500000000000007E-2</v>
      </c>
      <c r="M518" t="s">
        <v>17</v>
      </c>
      <c r="N518" t="s">
        <v>26</v>
      </c>
      <c r="O518">
        <v>580864.41</v>
      </c>
      <c r="P518" s="1">
        <v>46022</v>
      </c>
      <c r="R518" s="7"/>
      <c r="S518" s="7"/>
    </row>
    <row r="519" spans="1:19" x14ac:dyDescent="0.3">
      <c r="A519" t="s">
        <v>567</v>
      </c>
      <c r="B519" t="s">
        <v>24</v>
      </c>
      <c r="C519" t="s">
        <v>25</v>
      </c>
      <c r="D519" s="5">
        <v>244022</v>
      </c>
      <c r="E519">
        <v>232329.04</v>
      </c>
      <c r="F519" t="s">
        <v>14</v>
      </c>
      <c r="G519">
        <v>216</v>
      </c>
      <c r="H519" s="1">
        <f t="shared" si="8"/>
        <v>51866</v>
      </c>
      <c r="I519" t="s">
        <v>15</v>
      </c>
      <c r="J519" s="1">
        <v>45274</v>
      </c>
      <c r="K519" t="s">
        <v>56</v>
      </c>
      <c r="L519" s="3">
        <v>6.0100000000000001E-2</v>
      </c>
      <c r="M519" t="s">
        <v>17</v>
      </c>
      <c r="N519" t="s">
        <v>26</v>
      </c>
      <c r="O519">
        <v>310118.99</v>
      </c>
      <c r="P519" s="1">
        <v>46022</v>
      </c>
      <c r="R519" s="7"/>
      <c r="S519" s="7"/>
    </row>
    <row r="520" spans="1:19" x14ac:dyDescent="0.3">
      <c r="A520" t="s">
        <v>568</v>
      </c>
      <c r="B520" t="s">
        <v>12</v>
      </c>
      <c r="C520" t="s">
        <v>61</v>
      </c>
      <c r="D520" s="5">
        <v>2144253</v>
      </c>
      <c r="E520">
        <v>986765.91</v>
      </c>
      <c r="F520" t="s">
        <v>14</v>
      </c>
      <c r="G520">
        <v>264</v>
      </c>
      <c r="H520" s="1">
        <f t="shared" si="8"/>
        <v>49582</v>
      </c>
      <c r="I520" t="s">
        <v>15</v>
      </c>
      <c r="J520" s="1">
        <v>41543</v>
      </c>
      <c r="K520" t="s">
        <v>39</v>
      </c>
      <c r="L520" s="3">
        <v>6.3299999999999995E-2</v>
      </c>
      <c r="M520" t="s">
        <v>17</v>
      </c>
      <c r="N520" t="s">
        <v>54</v>
      </c>
      <c r="O520">
        <v>3716473</v>
      </c>
      <c r="P520" s="1">
        <v>46022</v>
      </c>
      <c r="R520" s="7"/>
      <c r="S520" s="7"/>
    </row>
    <row r="521" spans="1:19" x14ac:dyDescent="0.3">
      <c r="A521" t="s">
        <v>569</v>
      </c>
      <c r="B521" t="s">
        <v>20</v>
      </c>
      <c r="C521" t="s">
        <v>21</v>
      </c>
      <c r="D521" s="5">
        <v>3793257</v>
      </c>
      <c r="E521">
        <v>3053451.52</v>
      </c>
      <c r="F521" t="s">
        <v>33</v>
      </c>
      <c r="G521">
        <v>234</v>
      </c>
      <c r="H521" s="1">
        <f t="shared" si="8"/>
        <v>52535</v>
      </c>
      <c r="I521" t="s">
        <v>15</v>
      </c>
      <c r="J521" s="1">
        <v>45393</v>
      </c>
      <c r="K521" t="s">
        <v>56</v>
      </c>
      <c r="L521" s="3">
        <v>5.1299999999999998E-2</v>
      </c>
      <c r="M521" t="s">
        <v>17</v>
      </c>
      <c r="N521" t="s">
        <v>18</v>
      </c>
      <c r="O521">
        <v>4761515.54</v>
      </c>
      <c r="P521" s="1">
        <v>46022</v>
      </c>
      <c r="R521" s="7"/>
      <c r="S521" s="7"/>
    </row>
    <row r="522" spans="1:19" x14ac:dyDescent="0.3">
      <c r="A522" t="s">
        <v>570</v>
      </c>
      <c r="B522" t="s">
        <v>20</v>
      </c>
      <c r="C522" t="s">
        <v>47</v>
      </c>
      <c r="D522" s="5">
        <v>2319689</v>
      </c>
      <c r="E522">
        <v>787153.03</v>
      </c>
      <c r="F522" t="s">
        <v>48</v>
      </c>
      <c r="G522">
        <v>282</v>
      </c>
      <c r="H522" s="1">
        <f t="shared" si="8"/>
        <v>53235</v>
      </c>
      <c r="I522" t="s">
        <v>15</v>
      </c>
      <c r="J522" s="1">
        <v>44635</v>
      </c>
      <c r="K522" t="s">
        <v>22</v>
      </c>
      <c r="L522" s="3">
        <v>5.79E-2</v>
      </c>
      <c r="M522" t="s">
        <v>17</v>
      </c>
      <c r="N522" t="s">
        <v>42</v>
      </c>
      <c r="O522">
        <v>3035118.18</v>
      </c>
      <c r="P522" s="1">
        <v>46022</v>
      </c>
      <c r="R522" s="7"/>
      <c r="S522" s="7"/>
    </row>
    <row r="523" spans="1:19" x14ac:dyDescent="0.3">
      <c r="A523" t="s">
        <v>571</v>
      </c>
      <c r="B523" t="s">
        <v>37</v>
      </c>
      <c r="C523" t="s">
        <v>92</v>
      </c>
      <c r="D523" s="5">
        <v>151729938</v>
      </c>
      <c r="E523">
        <v>150409747.19999999</v>
      </c>
      <c r="F523" t="s">
        <v>14</v>
      </c>
      <c r="G523">
        <v>234</v>
      </c>
      <c r="H523" s="1">
        <f t="shared" si="8"/>
        <v>50525</v>
      </c>
      <c r="I523" t="s">
        <v>15</v>
      </c>
      <c r="J523" s="1">
        <v>43399</v>
      </c>
      <c r="K523" t="s">
        <v>22</v>
      </c>
      <c r="L523" s="3">
        <v>5.6500000000000002E-2</v>
      </c>
      <c r="M523" t="s">
        <v>17</v>
      </c>
      <c r="N523" t="s">
        <v>54</v>
      </c>
      <c r="O523">
        <v>271544628.69999999</v>
      </c>
      <c r="P523" s="1">
        <v>46022</v>
      </c>
      <c r="R523" s="7"/>
      <c r="S523" s="7"/>
    </row>
    <row r="524" spans="1:19" x14ac:dyDescent="0.3">
      <c r="A524" t="s">
        <v>572</v>
      </c>
      <c r="B524" t="s">
        <v>12</v>
      </c>
      <c r="C524" t="s">
        <v>26</v>
      </c>
      <c r="D524" s="5">
        <v>45104076</v>
      </c>
      <c r="E524">
        <v>5556490.1399999997</v>
      </c>
      <c r="F524" t="s">
        <v>48</v>
      </c>
      <c r="G524">
        <v>174</v>
      </c>
      <c r="H524" s="1">
        <f t="shared" si="8"/>
        <v>49734</v>
      </c>
      <c r="I524" t="s">
        <v>15</v>
      </c>
      <c r="J524" s="1">
        <v>44439</v>
      </c>
      <c r="K524" t="s">
        <v>35</v>
      </c>
      <c r="L524" s="3">
        <v>2.8199999999999999E-2</v>
      </c>
      <c r="M524" t="s">
        <v>17</v>
      </c>
      <c r="N524" t="s">
        <v>26</v>
      </c>
      <c r="O524">
        <v>67691394.530000001</v>
      </c>
      <c r="P524" s="1">
        <v>46022</v>
      </c>
      <c r="R524" s="7"/>
      <c r="S524" s="7"/>
    </row>
    <row r="525" spans="1:19" x14ac:dyDescent="0.3">
      <c r="A525" t="s">
        <v>573</v>
      </c>
      <c r="B525" t="s">
        <v>24</v>
      </c>
      <c r="C525" t="s">
        <v>32</v>
      </c>
      <c r="D525" s="5">
        <v>6691</v>
      </c>
      <c r="E525">
        <v>4303.37</v>
      </c>
      <c r="F525" t="s">
        <v>33</v>
      </c>
      <c r="G525">
        <v>324</v>
      </c>
      <c r="H525" s="1">
        <f t="shared" si="8"/>
        <v>54819</v>
      </c>
      <c r="I525" t="s">
        <v>15</v>
      </c>
      <c r="J525" s="1">
        <v>44945</v>
      </c>
      <c r="K525" t="s">
        <v>39</v>
      </c>
      <c r="L525" s="3">
        <v>9.5199999999999993E-2</v>
      </c>
      <c r="M525" t="s">
        <v>29</v>
      </c>
      <c r="N525" t="s">
        <v>30</v>
      </c>
      <c r="O525">
        <v>0</v>
      </c>
      <c r="P525" s="1">
        <v>46022</v>
      </c>
      <c r="R525" s="7"/>
      <c r="S525" s="7"/>
    </row>
    <row r="526" spans="1:19" x14ac:dyDescent="0.3">
      <c r="A526" t="s">
        <v>574</v>
      </c>
      <c r="B526" t="s">
        <v>24</v>
      </c>
      <c r="C526" t="s">
        <v>25</v>
      </c>
      <c r="D526" s="5">
        <v>960327</v>
      </c>
      <c r="E526">
        <v>666039.93000000005</v>
      </c>
      <c r="F526" t="s">
        <v>14</v>
      </c>
      <c r="G526">
        <v>156</v>
      </c>
      <c r="H526" s="1">
        <f t="shared" si="8"/>
        <v>50009</v>
      </c>
      <c r="I526" t="s">
        <v>15</v>
      </c>
      <c r="J526" s="1">
        <v>45245</v>
      </c>
      <c r="K526" t="s">
        <v>81</v>
      </c>
      <c r="L526" s="3">
        <v>5.3699999999999998E-2</v>
      </c>
      <c r="M526" t="s">
        <v>17</v>
      </c>
      <c r="N526" t="s">
        <v>26</v>
      </c>
      <c r="O526">
        <v>1140845.67</v>
      </c>
      <c r="P526" s="1">
        <v>46022</v>
      </c>
      <c r="R526" s="7"/>
      <c r="S526" s="7"/>
    </row>
    <row r="527" spans="1:19" x14ac:dyDescent="0.3">
      <c r="A527" t="s">
        <v>575</v>
      </c>
      <c r="B527" t="s">
        <v>24</v>
      </c>
      <c r="C527" t="s">
        <v>28</v>
      </c>
      <c r="D527" s="5">
        <v>16384</v>
      </c>
      <c r="E527">
        <v>11784.31</v>
      </c>
      <c r="F527" t="s">
        <v>33</v>
      </c>
      <c r="G527">
        <v>126</v>
      </c>
      <c r="H527" s="1">
        <f t="shared" si="8"/>
        <v>47938</v>
      </c>
      <c r="I527" t="s">
        <v>15</v>
      </c>
      <c r="J527" s="1">
        <v>44089</v>
      </c>
      <c r="K527" t="s">
        <v>35</v>
      </c>
      <c r="L527" s="3">
        <v>2.5399999999999999E-2</v>
      </c>
      <c r="M527" t="s">
        <v>29</v>
      </c>
      <c r="N527" t="s">
        <v>30</v>
      </c>
      <c r="O527">
        <v>0</v>
      </c>
      <c r="P527" s="1">
        <v>46022</v>
      </c>
      <c r="R527" s="7"/>
      <c r="S527" s="7"/>
    </row>
    <row r="528" spans="1:19" x14ac:dyDescent="0.3">
      <c r="A528" t="s">
        <v>576</v>
      </c>
      <c r="B528" t="s">
        <v>24</v>
      </c>
      <c r="C528" t="s">
        <v>28</v>
      </c>
      <c r="D528" s="5">
        <v>44532</v>
      </c>
      <c r="E528">
        <v>9278.14</v>
      </c>
      <c r="F528" t="s">
        <v>33</v>
      </c>
      <c r="G528">
        <v>102</v>
      </c>
      <c r="H528" s="1">
        <f t="shared" si="8"/>
        <v>47573</v>
      </c>
      <c r="I528" t="s">
        <v>15</v>
      </c>
      <c r="J528" s="1">
        <v>44469</v>
      </c>
      <c r="K528" t="s">
        <v>22</v>
      </c>
      <c r="L528" s="3">
        <v>4.1799999999999997E-2</v>
      </c>
      <c r="M528" t="s">
        <v>29</v>
      </c>
      <c r="N528" t="s">
        <v>30</v>
      </c>
      <c r="O528">
        <v>0</v>
      </c>
      <c r="P528" s="1">
        <v>46022</v>
      </c>
      <c r="R528" s="7"/>
      <c r="S528" s="7"/>
    </row>
    <row r="529" spans="1:19" x14ac:dyDescent="0.3">
      <c r="A529" t="s">
        <v>577</v>
      </c>
      <c r="B529" t="s">
        <v>24</v>
      </c>
      <c r="C529" t="s">
        <v>28</v>
      </c>
      <c r="D529" s="5">
        <v>30544</v>
      </c>
      <c r="E529">
        <v>28854.400000000001</v>
      </c>
      <c r="F529" t="s">
        <v>33</v>
      </c>
      <c r="G529">
        <v>96</v>
      </c>
      <c r="H529" s="1">
        <f t="shared" si="8"/>
        <v>46843</v>
      </c>
      <c r="I529" t="s">
        <v>15</v>
      </c>
      <c r="J529" s="1">
        <v>43909</v>
      </c>
      <c r="K529" t="s">
        <v>39</v>
      </c>
      <c r="L529" s="3">
        <v>6.5599999999999992E-2</v>
      </c>
      <c r="M529" t="s">
        <v>29</v>
      </c>
      <c r="N529" t="s">
        <v>30</v>
      </c>
      <c r="O529">
        <v>0</v>
      </c>
      <c r="P529" s="1">
        <v>46022</v>
      </c>
      <c r="R529" s="7"/>
      <c r="S529" s="7"/>
    </row>
    <row r="530" spans="1:19" x14ac:dyDescent="0.3">
      <c r="A530" t="s">
        <v>578</v>
      </c>
      <c r="B530" t="s">
        <v>24</v>
      </c>
      <c r="C530" t="s">
        <v>28</v>
      </c>
      <c r="D530" s="5">
        <v>41509</v>
      </c>
      <c r="E530">
        <v>10919.47</v>
      </c>
      <c r="F530" t="s">
        <v>14</v>
      </c>
      <c r="G530">
        <v>360</v>
      </c>
      <c r="H530" s="1">
        <f t="shared" si="8"/>
        <v>56249</v>
      </c>
      <c r="I530" t="s">
        <v>15</v>
      </c>
      <c r="J530" s="1">
        <v>45286</v>
      </c>
      <c r="K530" t="s">
        <v>16</v>
      </c>
      <c r="L530" s="3">
        <v>0.1222</v>
      </c>
      <c r="M530" t="s">
        <v>29</v>
      </c>
      <c r="N530" t="s">
        <v>30</v>
      </c>
      <c r="O530">
        <v>0</v>
      </c>
      <c r="P530" s="1">
        <v>46022</v>
      </c>
      <c r="R530" s="7"/>
      <c r="S530" s="7"/>
    </row>
    <row r="531" spans="1:19" x14ac:dyDescent="0.3">
      <c r="A531" t="s">
        <v>579</v>
      </c>
      <c r="B531" t="s">
        <v>24</v>
      </c>
      <c r="C531" t="s">
        <v>25</v>
      </c>
      <c r="D531" s="5">
        <v>985612</v>
      </c>
      <c r="E531">
        <v>650975.01</v>
      </c>
      <c r="F531" t="s">
        <v>14</v>
      </c>
      <c r="G531">
        <v>186</v>
      </c>
      <c r="H531" s="1">
        <f t="shared" si="8"/>
        <v>48121</v>
      </c>
      <c r="I531" t="s">
        <v>15</v>
      </c>
      <c r="J531" s="1">
        <v>42453</v>
      </c>
      <c r="K531" t="s">
        <v>39</v>
      </c>
      <c r="L531" s="3">
        <v>0.06</v>
      </c>
      <c r="M531" t="s">
        <v>17</v>
      </c>
      <c r="N531" t="s">
        <v>26</v>
      </c>
      <c r="O531">
        <v>1346153.97</v>
      </c>
      <c r="P531" s="1">
        <v>46022</v>
      </c>
      <c r="R531" s="7"/>
      <c r="S531" s="7"/>
    </row>
    <row r="532" spans="1:19" x14ac:dyDescent="0.3">
      <c r="A532" t="s">
        <v>580</v>
      </c>
      <c r="B532" t="s">
        <v>20</v>
      </c>
      <c r="C532" t="s">
        <v>47</v>
      </c>
      <c r="D532" s="5">
        <v>1477607</v>
      </c>
      <c r="E532">
        <v>443885.64</v>
      </c>
      <c r="F532" t="s">
        <v>48</v>
      </c>
      <c r="G532">
        <v>306</v>
      </c>
      <c r="H532" s="1">
        <f t="shared" si="8"/>
        <v>50374</v>
      </c>
      <c r="I532" t="s">
        <v>15</v>
      </c>
      <c r="J532" s="1">
        <v>41045</v>
      </c>
      <c r="K532" t="s">
        <v>39</v>
      </c>
      <c r="L532" s="3">
        <v>6.1399999999999996E-2</v>
      </c>
      <c r="M532" t="s">
        <v>29</v>
      </c>
      <c r="N532" t="s">
        <v>30</v>
      </c>
      <c r="O532">
        <v>0</v>
      </c>
      <c r="P532" s="1">
        <v>46022</v>
      </c>
      <c r="R532" s="7"/>
      <c r="S532" s="7"/>
    </row>
    <row r="533" spans="1:19" x14ac:dyDescent="0.3">
      <c r="A533" t="s">
        <v>581</v>
      </c>
      <c r="B533" t="s">
        <v>24</v>
      </c>
      <c r="C533" t="s">
        <v>32</v>
      </c>
      <c r="D533" s="5">
        <v>48096</v>
      </c>
      <c r="E533">
        <v>18107.759999999998</v>
      </c>
      <c r="F533" t="s">
        <v>33</v>
      </c>
      <c r="G533">
        <v>54</v>
      </c>
      <c r="H533" s="1">
        <f t="shared" si="8"/>
        <v>46691</v>
      </c>
      <c r="I533" t="s">
        <v>15</v>
      </c>
      <c r="J533" s="1">
        <v>45021</v>
      </c>
      <c r="K533" t="s">
        <v>22</v>
      </c>
      <c r="L533" s="3">
        <v>5.57E-2</v>
      </c>
      <c r="M533" t="s">
        <v>29</v>
      </c>
      <c r="N533" t="s">
        <v>30</v>
      </c>
      <c r="O533">
        <v>0</v>
      </c>
      <c r="P533" s="1">
        <v>46022</v>
      </c>
      <c r="R533" s="7"/>
      <c r="S533" s="7"/>
    </row>
    <row r="534" spans="1:19" x14ac:dyDescent="0.3">
      <c r="A534" t="s">
        <v>582</v>
      </c>
      <c r="B534" t="s">
        <v>37</v>
      </c>
      <c r="C534" t="s">
        <v>38</v>
      </c>
      <c r="D534" s="5">
        <v>200846129</v>
      </c>
      <c r="E534">
        <v>118863287.09999999</v>
      </c>
      <c r="F534" t="s">
        <v>14</v>
      </c>
      <c r="G534">
        <v>186</v>
      </c>
      <c r="H534" s="1">
        <f t="shared" si="8"/>
        <v>50709</v>
      </c>
      <c r="I534" t="s">
        <v>15</v>
      </c>
      <c r="J534" s="1">
        <v>45037</v>
      </c>
      <c r="K534" t="s">
        <v>81</v>
      </c>
      <c r="L534" s="3">
        <v>5.33E-2</v>
      </c>
      <c r="M534" t="s">
        <v>17</v>
      </c>
      <c r="N534" t="s">
        <v>54</v>
      </c>
      <c r="O534">
        <v>304044004.5</v>
      </c>
      <c r="P534" s="1">
        <v>46022</v>
      </c>
      <c r="R534" s="7"/>
      <c r="S534" s="7"/>
    </row>
    <row r="535" spans="1:19" x14ac:dyDescent="0.3">
      <c r="A535" t="s">
        <v>583</v>
      </c>
      <c r="B535" t="s">
        <v>20</v>
      </c>
      <c r="C535" t="s">
        <v>21</v>
      </c>
      <c r="D535" s="5">
        <v>1958284</v>
      </c>
      <c r="E535">
        <v>931113.24</v>
      </c>
      <c r="F535" t="s">
        <v>14</v>
      </c>
      <c r="G535">
        <v>84</v>
      </c>
      <c r="H535" s="1">
        <f t="shared" si="8"/>
        <v>48029</v>
      </c>
      <c r="I535" t="s">
        <v>15</v>
      </c>
      <c r="J535" s="1">
        <v>45470</v>
      </c>
      <c r="K535" t="s">
        <v>35</v>
      </c>
      <c r="L535" s="3">
        <v>6.25E-2</v>
      </c>
      <c r="M535" t="s">
        <v>17</v>
      </c>
      <c r="N535" t="s">
        <v>54</v>
      </c>
      <c r="O535">
        <v>2365532.11</v>
      </c>
      <c r="P535" s="1">
        <v>46022</v>
      </c>
      <c r="R535" s="7"/>
      <c r="S535" s="7"/>
    </row>
    <row r="536" spans="1:19" x14ac:dyDescent="0.3">
      <c r="A536" t="s">
        <v>584</v>
      </c>
      <c r="B536" t="s">
        <v>24</v>
      </c>
      <c r="C536" t="s">
        <v>32</v>
      </c>
      <c r="D536" s="5">
        <v>17679</v>
      </c>
      <c r="E536">
        <v>4317.26</v>
      </c>
      <c r="F536" t="s">
        <v>33</v>
      </c>
      <c r="G536">
        <v>294</v>
      </c>
      <c r="H536" s="1">
        <f t="shared" si="8"/>
        <v>53266</v>
      </c>
      <c r="I536" t="s">
        <v>15</v>
      </c>
      <c r="J536" s="1">
        <v>44316</v>
      </c>
      <c r="K536" t="s">
        <v>22</v>
      </c>
      <c r="L536" s="3">
        <v>3.73E-2</v>
      </c>
      <c r="M536" t="s">
        <v>29</v>
      </c>
      <c r="N536" t="s">
        <v>30</v>
      </c>
      <c r="O536">
        <v>0</v>
      </c>
      <c r="P536" s="1">
        <v>46022</v>
      </c>
      <c r="R536" s="7"/>
      <c r="S536" s="7"/>
    </row>
    <row r="537" spans="1:19" x14ac:dyDescent="0.3">
      <c r="A537" t="s">
        <v>585</v>
      </c>
      <c r="B537" t="s">
        <v>37</v>
      </c>
      <c r="C537" t="s">
        <v>74</v>
      </c>
      <c r="D537" s="5">
        <v>275289728</v>
      </c>
      <c r="E537">
        <v>69880304.849999994</v>
      </c>
      <c r="F537" t="s">
        <v>33</v>
      </c>
      <c r="G537">
        <v>222</v>
      </c>
      <c r="H537" s="1">
        <f t="shared" si="8"/>
        <v>47452</v>
      </c>
      <c r="I537" t="s">
        <v>15</v>
      </c>
      <c r="J537" s="1">
        <v>40683</v>
      </c>
      <c r="K537" t="s">
        <v>39</v>
      </c>
      <c r="L537" s="3">
        <v>7.2400000000000006E-2</v>
      </c>
      <c r="M537" t="s">
        <v>17</v>
      </c>
      <c r="N537" t="s">
        <v>54</v>
      </c>
      <c r="O537">
        <v>338542197.80000001</v>
      </c>
      <c r="P537" s="1">
        <v>46022</v>
      </c>
      <c r="R537" s="7"/>
      <c r="S537" s="7"/>
    </row>
    <row r="538" spans="1:19" x14ac:dyDescent="0.3">
      <c r="A538" t="s">
        <v>586</v>
      </c>
      <c r="B538" t="s">
        <v>20</v>
      </c>
      <c r="C538" t="s">
        <v>51</v>
      </c>
      <c r="D538" s="5">
        <v>813018</v>
      </c>
      <c r="E538">
        <v>387265.1</v>
      </c>
      <c r="F538" t="s">
        <v>48</v>
      </c>
      <c r="G538">
        <v>60</v>
      </c>
      <c r="H538" s="1">
        <f t="shared" si="8"/>
        <v>47361</v>
      </c>
      <c r="I538" t="s">
        <v>15</v>
      </c>
      <c r="J538" s="1">
        <v>45524</v>
      </c>
      <c r="K538" t="s">
        <v>22</v>
      </c>
      <c r="L538" s="3">
        <v>6.9000000000000006E-2</v>
      </c>
      <c r="M538" t="s">
        <v>17</v>
      </c>
      <c r="N538" t="s">
        <v>54</v>
      </c>
      <c r="O538">
        <v>982979.75</v>
      </c>
      <c r="P538" s="1">
        <v>46022</v>
      </c>
      <c r="R538" s="7"/>
      <c r="S538" s="7"/>
    </row>
    <row r="539" spans="1:19" x14ac:dyDescent="0.3">
      <c r="A539" t="s">
        <v>587</v>
      </c>
      <c r="B539" t="s">
        <v>37</v>
      </c>
      <c r="C539" t="s">
        <v>74</v>
      </c>
      <c r="D539" s="5">
        <v>281318628</v>
      </c>
      <c r="E539">
        <v>219865890.30000001</v>
      </c>
      <c r="F539" t="s">
        <v>33</v>
      </c>
      <c r="G539">
        <v>312</v>
      </c>
      <c r="H539" s="1">
        <f t="shared" si="8"/>
        <v>52262</v>
      </c>
      <c r="I539" t="s">
        <v>15</v>
      </c>
      <c r="J539" s="1">
        <v>42741</v>
      </c>
      <c r="K539" t="s">
        <v>39</v>
      </c>
      <c r="L539" s="3">
        <v>7.2800000000000004E-2</v>
      </c>
      <c r="M539" t="s">
        <v>17</v>
      </c>
      <c r="N539" t="s">
        <v>42</v>
      </c>
      <c r="O539">
        <v>471910667.30000001</v>
      </c>
      <c r="P539" s="1">
        <v>46022</v>
      </c>
      <c r="R539" s="7"/>
      <c r="S539" s="7"/>
    </row>
    <row r="540" spans="1:19" x14ac:dyDescent="0.3">
      <c r="A540" t="s">
        <v>588</v>
      </c>
      <c r="B540" t="s">
        <v>37</v>
      </c>
      <c r="C540" t="s">
        <v>144</v>
      </c>
      <c r="D540" s="5">
        <v>275435358</v>
      </c>
      <c r="E540">
        <v>250141628.5</v>
      </c>
      <c r="F540" t="s">
        <v>14</v>
      </c>
      <c r="G540">
        <v>288</v>
      </c>
      <c r="H540" s="1">
        <f t="shared" si="8"/>
        <v>52321</v>
      </c>
      <c r="I540" t="s">
        <v>15</v>
      </c>
      <c r="J540" s="1">
        <v>43536</v>
      </c>
      <c r="K540" t="s">
        <v>22</v>
      </c>
      <c r="L540" s="3">
        <v>4.3299999999999998E-2</v>
      </c>
      <c r="M540" t="s">
        <v>17</v>
      </c>
      <c r="N540" t="s">
        <v>42</v>
      </c>
      <c r="O540">
        <v>414389922.10000002</v>
      </c>
      <c r="P540" s="1">
        <v>46022</v>
      </c>
      <c r="R540" s="7"/>
      <c r="S540" s="7"/>
    </row>
    <row r="541" spans="1:19" x14ac:dyDescent="0.3">
      <c r="A541" t="s">
        <v>589</v>
      </c>
      <c r="B541" t="s">
        <v>24</v>
      </c>
      <c r="C541" t="s">
        <v>41</v>
      </c>
      <c r="D541" s="5">
        <v>78571</v>
      </c>
      <c r="E541">
        <v>13806.12</v>
      </c>
      <c r="F541" t="s">
        <v>14</v>
      </c>
      <c r="G541">
        <v>276</v>
      </c>
      <c r="H541" s="1">
        <f t="shared" si="8"/>
        <v>51043</v>
      </c>
      <c r="I541" t="s">
        <v>15</v>
      </c>
      <c r="J541" s="1">
        <v>42615</v>
      </c>
      <c r="K541" t="s">
        <v>56</v>
      </c>
      <c r="L541" s="3">
        <v>2.9100000000000001E-2</v>
      </c>
      <c r="M541" t="s">
        <v>17</v>
      </c>
      <c r="N541" t="s">
        <v>42</v>
      </c>
      <c r="O541">
        <v>97050.14</v>
      </c>
      <c r="P541" s="1">
        <v>46022</v>
      </c>
      <c r="R541" s="7"/>
      <c r="S541" s="7"/>
    </row>
    <row r="542" spans="1:19" x14ac:dyDescent="0.3">
      <c r="A542" t="s">
        <v>590</v>
      </c>
      <c r="B542" t="s">
        <v>20</v>
      </c>
      <c r="C542" t="s">
        <v>51</v>
      </c>
      <c r="D542" s="5">
        <v>4176567</v>
      </c>
      <c r="E542">
        <v>1895299.17</v>
      </c>
      <c r="F542" t="s">
        <v>33</v>
      </c>
      <c r="G542">
        <v>84</v>
      </c>
      <c r="H542" s="1">
        <f t="shared" si="8"/>
        <v>47208</v>
      </c>
      <c r="I542" t="s">
        <v>15</v>
      </c>
      <c r="J542" s="1">
        <v>44646</v>
      </c>
      <c r="K542" t="s">
        <v>35</v>
      </c>
      <c r="L542" s="3">
        <v>3.5299999999999998E-2</v>
      </c>
      <c r="M542" t="s">
        <v>17</v>
      </c>
      <c r="N542" t="s">
        <v>42</v>
      </c>
      <c r="O542">
        <v>5574395.3300000001</v>
      </c>
      <c r="P542" s="1">
        <v>46022</v>
      </c>
      <c r="R542" s="7"/>
      <c r="S542" s="7"/>
    </row>
    <row r="543" spans="1:19" x14ac:dyDescent="0.3">
      <c r="A543" t="s">
        <v>591</v>
      </c>
      <c r="B543" t="s">
        <v>37</v>
      </c>
      <c r="C543" t="s">
        <v>78</v>
      </c>
      <c r="D543" s="5">
        <v>225816262</v>
      </c>
      <c r="E543">
        <v>42954996.770000003</v>
      </c>
      <c r="F543" t="s">
        <v>48</v>
      </c>
      <c r="G543">
        <v>354</v>
      </c>
      <c r="H543" s="1">
        <f t="shared" si="8"/>
        <v>56188</v>
      </c>
      <c r="I543" t="s">
        <v>15</v>
      </c>
      <c r="J543" s="1">
        <v>45408</v>
      </c>
      <c r="K543" t="s">
        <v>39</v>
      </c>
      <c r="L543" s="3">
        <v>8.5699999999999998E-2</v>
      </c>
      <c r="M543" t="s">
        <v>17</v>
      </c>
      <c r="N543" t="s">
        <v>54</v>
      </c>
      <c r="O543">
        <v>450564013.60000002</v>
      </c>
      <c r="P543" s="1">
        <v>46022</v>
      </c>
      <c r="R543" s="7"/>
      <c r="S543" s="7"/>
    </row>
    <row r="544" spans="1:19" x14ac:dyDescent="0.3">
      <c r="A544" t="s">
        <v>592</v>
      </c>
      <c r="B544" t="s">
        <v>24</v>
      </c>
      <c r="C544" t="s">
        <v>25</v>
      </c>
      <c r="D544" s="5">
        <v>372100</v>
      </c>
      <c r="E544">
        <v>42766.65</v>
      </c>
      <c r="F544" t="s">
        <v>14</v>
      </c>
      <c r="G544">
        <v>198</v>
      </c>
      <c r="H544" s="1">
        <f t="shared" si="8"/>
        <v>46446</v>
      </c>
      <c r="I544" t="s">
        <v>15</v>
      </c>
      <c r="J544" s="1">
        <v>40410</v>
      </c>
      <c r="K544" t="s">
        <v>39</v>
      </c>
      <c r="L544" s="3">
        <v>7.690000000000001E-2</v>
      </c>
      <c r="M544" t="s">
        <v>17</v>
      </c>
      <c r="N544" t="s">
        <v>26</v>
      </c>
      <c r="O544">
        <v>505026.05</v>
      </c>
      <c r="P544" s="1">
        <v>46022</v>
      </c>
      <c r="R544" s="7"/>
      <c r="S544" s="7"/>
    </row>
    <row r="545" spans="1:19" x14ac:dyDescent="0.3">
      <c r="A545" t="s">
        <v>593</v>
      </c>
      <c r="B545" t="s">
        <v>24</v>
      </c>
      <c r="C545" t="s">
        <v>28</v>
      </c>
      <c r="D545" s="5">
        <v>13707</v>
      </c>
      <c r="E545">
        <v>9534.15</v>
      </c>
      <c r="F545" t="s">
        <v>33</v>
      </c>
      <c r="G545">
        <v>210</v>
      </c>
      <c r="H545" s="1">
        <f t="shared" si="8"/>
        <v>48852</v>
      </c>
      <c r="I545" t="s">
        <v>15</v>
      </c>
      <c r="J545" s="1">
        <v>42439</v>
      </c>
      <c r="K545" t="s">
        <v>16</v>
      </c>
      <c r="L545" s="3">
        <v>0.09</v>
      </c>
      <c r="M545" t="s">
        <v>29</v>
      </c>
      <c r="N545" t="s">
        <v>30</v>
      </c>
      <c r="O545">
        <v>0</v>
      </c>
      <c r="P545" s="1">
        <v>46022</v>
      </c>
      <c r="R545" s="7"/>
      <c r="S545" s="7"/>
    </row>
    <row r="546" spans="1:19" x14ac:dyDescent="0.3">
      <c r="A546" t="s">
        <v>594</v>
      </c>
      <c r="B546" t="s">
        <v>20</v>
      </c>
      <c r="C546" t="s">
        <v>89</v>
      </c>
      <c r="D546" s="5">
        <v>1013388</v>
      </c>
      <c r="E546">
        <v>650802.32999999996</v>
      </c>
      <c r="F546" t="s">
        <v>48</v>
      </c>
      <c r="G546">
        <v>348</v>
      </c>
      <c r="H546" s="1">
        <f t="shared" si="8"/>
        <v>53082</v>
      </c>
      <c r="I546" t="s">
        <v>15</v>
      </c>
      <c r="J546" s="1">
        <v>42482</v>
      </c>
      <c r="K546" t="s">
        <v>35</v>
      </c>
      <c r="L546" s="3">
        <v>3.3099999999999997E-2</v>
      </c>
      <c r="M546" t="s">
        <v>17</v>
      </c>
      <c r="N546" t="s">
        <v>54</v>
      </c>
      <c r="O546">
        <v>1531671.33</v>
      </c>
      <c r="P546" s="1">
        <v>46022</v>
      </c>
      <c r="R546" s="7"/>
      <c r="S546" s="7"/>
    </row>
    <row r="547" spans="1:19" x14ac:dyDescent="0.3">
      <c r="A547" t="s">
        <v>595</v>
      </c>
      <c r="B547" t="s">
        <v>37</v>
      </c>
      <c r="C547" t="s">
        <v>38</v>
      </c>
      <c r="D547" s="5">
        <v>38247315</v>
      </c>
      <c r="E547" s="4">
        <v>9436270.6300000008</v>
      </c>
      <c r="F547" t="s">
        <v>48</v>
      </c>
      <c r="G547">
        <v>234</v>
      </c>
      <c r="H547" s="1">
        <f t="shared" si="8"/>
        <v>51348</v>
      </c>
      <c r="I547" t="s">
        <v>15</v>
      </c>
      <c r="J547" s="1">
        <v>44209</v>
      </c>
      <c r="K547" t="s">
        <v>56</v>
      </c>
      <c r="L547" s="3">
        <v>0.13769999999999999</v>
      </c>
      <c r="M547" t="s">
        <v>29</v>
      </c>
      <c r="N547" t="s">
        <v>30</v>
      </c>
      <c r="O547">
        <v>0</v>
      </c>
      <c r="P547" s="1">
        <v>46022</v>
      </c>
      <c r="R547" s="7"/>
      <c r="S547" s="7"/>
    </row>
    <row r="548" spans="1:19" x14ac:dyDescent="0.3">
      <c r="A548" t="s">
        <v>596</v>
      </c>
      <c r="B548" t="s">
        <v>24</v>
      </c>
      <c r="C548" t="s">
        <v>28</v>
      </c>
      <c r="D548" s="5">
        <v>17780</v>
      </c>
      <c r="E548">
        <v>5519.46</v>
      </c>
      <c r="F548" t="s">
        <v>33</v>
      </c>
      <c r="G548">
        <v>348</v>
      </c>
      <c r="H548" s="1">
        <f t="shared" si="8"/>
        <v>54331</v>
      </c>
      <c r="I548" t="s">
        <v>15</v>
      </c>
      <c r="J548" s="1">
        <v>43720</v>
      </c>
      <c r="K548" t="s">
        <v>35</v>
      </c>
      <c r="L548" s="3">
        <v>3.39E-2</v>
      </c>
      <c r="M548" t="s">
        <v>29</v>
      </c>
      <c r="N548" t="s">
        <v>30</v>
      </c>
      <c r="O548">
        <v>0</v>
      </c>
      <c r="P548" s="1">
        <v>46022</v>
      </c>
      <c r="R548" s="7"/>
      <c r="S548" s="7"/>
    </row>
    <row r="549" spans="1:19" x14ac:dyDescent="0.3">
      <c r="A549" t="s">
        <v>597</v>
      </c>
      <c r="B549" t="s">
        <v>24</v>
      </c>
      <c r="C549" t="s">
        <v>25</v>
      </c>
      <c r="D549" s="5">
        <v>343223</v>
      </c>
      <c r="E549">
        <v>41645.629999999997</v>
      </c>
      <c r="F549" t="s">
        <v>14</v>
      </c>
      <c r="G549">
        <v>282</v>
      </c>
      <c r="H549" s="1">
        <f t="shared" si="8"/>
        <v>50436</v>
      </c>
      <c r="I549" t="s">
        <v>15</v>
      </c>
      <c r="J549" s="1">
        <v>41843</v>
      </c>
      <c r="K549" t="s">
        <v>81</v>
      </c>
      <c r="L549" s="3">
        <v>2.5899999999999999E-2</v>
      </c>
      <c r="M549" t="s">
        <v>17</v>
      </c>
      <c r="N549" t="s">
        <v>26</v>
      </c>
      <c r="O549">
        <v>424173.75</v>
      </c>
      <c r="P549" s="1">
        <v>46022</v>
      </c>
      <c r="R549" s="7"/>
      <c r="S549" s="7"/>
    </row>
    <row r="550" spans="1:19" x14ac:dyDescent="0.3">
      <c r="A550" t="s">
        <v>598</v>
      </c>
      <c r="B550" t="s">
        <v>24</v>
      </c>
      <c r="C550" t="s">
        <v>25</v>
      </c>
      <c r="D550" s="5">
        <v>969776</v>
      </c>
      <c r="E550" s="4">
        <v>825717.89</v>
      </c>
      <c r="F550" t="s">
        <v>14</v>
      </c>
      <c r="G550">
        <v>306</v>
      </c>
      <c r="H550" s="1">
        <f t="shared" si="8"/>
        <v>54908</v>
      </c>
      <c r="I550" t="s">
        <v>15</v>
      </c>
      <c r="J550" s="1">
        <v>45567</v>
      </c>
      <c r="K550" t="s">
        <v>101</v>
      </c>
      <c r="L550" s="3">
        <v>0.16940000000000002</v>
      </c>
      <c r="M550" t="s">
        <v>17</v>
      </c>
      <c r="N550" t="s">
        <v>26</v>
      </c>
      <c r="O550">
        <v>1363897.64</v>
      </c>
      <c r="P550" s="1">
        <v>46022</v>
      </c>
      <c r="R550" s="7"/>
      <c r="S550" s="7"/>
    </row>
    <row r="551" spans="1:19" x14ac:dyDescent="0.3">
      <c r="A551" t="s">
        <v>599</v>
      </c>
      <c r="B551" t="s">
        <v>24</v>
      </c>
      <c r="C551" t="s">
        <v>28</v>
      </c>
      <c r="D551" s="5">
        <v>28328</v>
      </c>
      <c r="E551">
        <v>27682.47</v>
      </c>
      <c r="F551" t="s">
        <v>14</v>
      </c>
      <c r="G551">
        <v>120</v>
      </c>
      <c r="H551" s="1">
        <f t="shared" si="8"/>
        <v>45473</v>
      </c>
      <c r="I551" t="s">
        <v>15</v>
      </c>
      <c r="J551" s="1">
        <v>41806</v>
      </c>
      <c r="K551" t="s">
        <v>22</v>
      </c>
      <c r="L551" s="3">
        <v>4.8799999999999996E-2</v>
      </c>
      <c r="M551" t="s">
        <v>29</v>
      </c>
      <c r="N551" t="s">
        <v>30</v>
      </c>
      <c r="O551">
        <v>0</v>
      </c>
      <c r="P551" s="1">
        <v>46022</v>
      </c>
      <c r="R551" s="7"/>
      <c r="S551" s="7"/>
    </row>
    <row r="552" spans="1:19" x14ac:dyDescent="0.3">
      <c r="A552" t="s">
        <v>600</v>
      </c>
      <c r="B552" t="s">
        <v>24</v>
      </c>
      <c r="C552" t="s">
        <v>41</v>
      </c>
      <c r="D552" s="5">
        <v>41255</v>
      </c>
      <c r="E552">
        <v>9155.0300000000007</v>
      </c>
      <c r="F552" t="s">
        <v>14</v>
      </c>
      <c r="G552">
        <v>60</v>
      </c>
      <c r="H552" s="1">
        <f t="shared" si="8"/>
        <v>47391</v>
      </c>
      <c r="I552" t="s">
        <v>15</v>
      </c>
      <c r="J552" s="1">
        <v>45564</v>
      </c>
      <c r="K552" t="s">
        <v>39</v>
      </c>
      <c r="L552" s="3">
        <v>7.7800000000000008E-2</v>
      </c>
      <c r="M552" t="s">
        <v>17</v>
      </c>
      <c r="N552" t="s">
        <v>42</v>
      </c>
      <c r="O552">
        <v>48848.44</v>
      </c>
      <c r="P552" s="1">
        <v>46022</v>
      </c>
      <c r="R552" s="7"/>
      <c r="S552" s="7"/>
    </row>
    <row r="553" spans="1:19" x14ac:dyDescent="0.3">
      <c r="A553" t="s">
        <v>601</v>
      </c>
      <c r="B553" t="s">
        <v>20</v>
      </c>
      <c r="C553" t="s">
        <v>89</v>
      </c>
      <c r="D553" s="5">
        <v>2923315</v>
      </c>
      <c r="E553">
        <v>901338.85</v>
      </c>
      <c r="F553" t="s">
        <v>33</v>
      </c>
      <c r="G553">
        <v>306</v>
      </c>
      <c r="H553" s="1">
        <f t="shared" si="8"/>
        <v>53296</v>
      </c>
      <c r="I553" t="s">
        <v>15</v>
      </c>
      <c r="J553" s="1">
        <v>43965</v>
      </c>
      <c r="K553" t="s">
        <v>35</v>
      </c>
      <c r="L553" s="3">
        <v>2.5899999999999999E-2</v>
      </c>
      <c r="M553" t="s">
        <v>17</v>
      </c>
      <c r="N553" t="s">
        <v>18</v>
      </c>
      <c r="O553">
        <v>3625762.23</v>
      </c>
      <c r="P553" s="1">
        <v>46022</v>
      </c>
      <c r="R553" s="7"/>
      <c r="S553" s="7"/>
    </row>
    <row r="554" spans="1:19" x14ac:dyDescent="0.3">
      <c r="A554" t="s">
        <v>602</v>
      </c>
      <c r="B554" t="s">
        <v>24</v>
      </c>
      <c r="C554" t="s">
        <v>28</v>
      </c>
      <c r="D554" s="5">
        <v>7821</v>
      </c>
      <c r="E554">
        <v>6894.43</v>
      </c>
      <c r="F554" t="s">
        <v>14</v>
      </c>
      <c r="G554">
        <v>246</v>
      </c>
      <c r="H554" s="1">
        <f t="shared" si="8"/>
        <v>53113</v>
      </c>
      <c r="I554" t="s">
        <v>15</v>
      </c>
      <c r="J554" s="1">
        <v>45621</v>
      </c>
      <c r="K554" t="s">
        <v>22</v>
      </c>
      <c r="L554" s="3">
        <v>6.8199999999999997E-2</v>
      </c>
      <c r="M554" t="s">
        <v>29</v>
      </c>
      <c r="N554" t="s">
        <v>30</v>
      </c>
      <c r="O554">
        <v>0</v>
      </c>
      <c r="P554" s="1">
        <v>46022</v>
      </c>
      <c r="R554" s="7"/>
      <c r="S554" s="7"/>
    </row>
    <row r="555" spans="1:19" x14ac:dyDescent="0.3">
      <c r="A555" t="s">
        <v>603</v>
      </c>
      <c r="B555" t="s">
        <v>20</v>
      </c>
      <c r="C555" t="s">
        <v>51</v>
      </c>
      <c r="D555" s="5">
        <v>2248017</v>
      </c>
      <c r="E555">
        <v>2099237.02</v>
      </c>
      <c r="F555" t="s">
        <v>14</v>
      </c>
      <c r="G555">
        <v>114</v>
      </c>
      <c r="H555" s="1">
        <f t="shared" si="8"/>
        <v>47299</v>
      </c>
      <c r="I555" t="s">
        <v>15</v>
      </c>
      <c r="J555" s="1">
        <v>43829</v>
      </c>
      <c r="K555" t="s">
        <v>16</v>
      </c>
      <c r="L555" s="3">
        <v>9.3200000000000005E-2</v>
      </c>
      <c r="M555" t="s">
        <v>17</v>
      </c>
      <c r="N555" t="s">
        <v>54</v>
      </c>
      <c r="O555">
        <v>2699511.27</v>
      </c>
      <c r="P555" s="1">
        <v>46022</v>
      </c>
      <c r="R555" s="7"/>
      <c r="S555" s="7"/>
    </row>
    <row r="556" spans="1:19" x14ac:dyDescent="0.3">
      <c r="A556" t="s">
        <v>604</v>
      </c>
      <c r="B556" t="s">
        <v>24</v>
      </c>
      <c r="C556" t="s">
        <v>32</v>
      </c>
      <c r="D556" s="5">
        <v>31685</v>
      </c>
      <c r="E556">
        <v>15135.03</v>
      </c>
      <c r="F556" t="s">
        <v>33</v>
      </c>
      <c r="G556">
        <v>354</v>
      </c>
      <c r="H556" s="1">
        <f t="shared" si="8"/>
        <v>55334</v>
      </c>
      <c r="I556" t="s">
        <v>15</v>
      </c>
      <c r="J556" s="1">
        <v>44540</v>
      </c>
      <c r="K556" t="s">
        <v>22</v>
      </c>
      <c r="L556" s="3">
        <v>3.5400000000000001E-2</v>
      </c>
      <c r="M556" t="s">
        <v>29</v>
      </c>
      <c r="N556" t="s">
        <v>30</v>
      </c>
      <c r="O556">
        <v>0</v>
      </c>
      <c r="P556" s="1">
        <v>46022</v>
      </c>
      <c r="R556" s="7"/>
      <c r="S556" s="7"/>
    </row>
    <row r="557" spans="1:19" x14ac:dyDescent="0.3">
      <c r="A557" t="s">
        <v>605</v>
      </c>
      <c r="B557" t="s">
        <v>24</v>
      </c>
      <c r="C557" t="s">
        <v>25</v>
      </c>
      <c r="D557" s="5">
        <v>540008</v>
      </c>
      <c r="E557">
        <v>78603.69</v>
      </c>
      <c r="F557" t="s">
        <v>14</v>
      </c>
      <c r="G557">
        <v>222</v>
      </c>
      <c r="H557" s="1">
        <f t="shared" si="8"/>
        <v>47087</v>
      </c>
      <c r="I557" t="s">
        <v>15</v>
      </c>
      <c r="J557" s="1">
        <v>40309</v>
      </c>
      <c r="K557" t="s">
        <v>39</v>
      </c>
      <c r="L557" s="3">
        <v>7.4900000000000008E-2</v>
      </c>
      <c r="M557" t="s">
        <v>17</v>
      </c>
      <c r="N557" t="s">
        <v>26</v>
      </c>
      <c r="O557">
        <v>683840.69</v>
      </c>
      <c r="P557" s="1">
        <v>46022</v>
      </c>
      <c r="R557" s="7"/>
      <c r="S557" s="7"/>
    </row>
    <row r="558" spans="1:19" x14ac:dyDescent="0.3">
      <c r="A558" t="s">
        <v>606</v>
      </c>
      <c r="B558" t="s">
        <v>24</v>
      </c>
      <c r="C558" t="s">
        <v>32</v>
      </c>
      <c r="D558" s="5">
        <v>20687</v>
      </c>
      <c r="E558">
        <v>2802.13</v>
      </c>
      <c r="F558" t="s">
        <v>33</v>
      </c>
      <c r="G558">
        <v>108</v>
      </c>
      <c r="H558" s="1">
        <f t="shared" si="8"/>
        <v>46965</v>
      </c>
      <c r="I558" t="s">
        <v>15</v>
      </c>
      <c r="J558" s="1">
        <v>43661</v>
      </c>
      <c r="K558" t="s">
        <v>35</v>
      </c>
      <c r="L558" s="3">
        <v>4.3400000000000001E-2</v>
      </c>
      <c r="M558" t="s">
        <v>29</v>
      </c>
      <c r="N558" t="s">
        <v>30</v>
      </c>
      <c r="O558">
        <v>0</v>
      </c>
      <c r="P558" s="1">
        <v>46022</v>
      </c>
      <c r="R558" s="7"/>
      <c r="S558" s="7"/>
    </row>
    <row r="559" spans="1:19" x14ac:dyDescent="0.3">
      <c r="A559" t="s">
        <v>607</v>
      </c>
      <c r="B559" t="s">
        <v>20</v>
      </c>
      <c r="C559" t="s">
        <v>51</v>
      </c>
      <c r="D559" s="5">
        <v>4969550</v>
      </c>
      <c r="E559">
        <v>3064000.01</v>
      </c>
      <c r="F559" t="s">
        <v>33</v>
      </c>
      <c r="G559">
        <v>96</v>
      </c>
      <c r="H559" s="1">
        <f t="shared" si="8"/>
        <v>46721</v>
      </c>
      <c r="I559" t="s">
        <v>15</v>
      </c>
      <c r="J559" s="1">
        <v>43778</v>
      </c>
      <c r="K559" t="s">
        <v>39</v>
      </c>
      <c r="L559" s="3">
        <v>7.9100000000000004E-2</v>
      </c>
      <c r="M559" t="s">
        <v>29</v>
      </c>
      <c r="N559" t="s">
        <v>30</v>
      </c>
      <c r="O559">
        <v>0</v>
      </c>
      <c r="P559" s="1">
        <v>46022</v>
      </c>
      <c r="R559" s="7"/>
      <c r="S559" s="7"/>
    </row>
    <row r="560" spans="1:19" x14ac:dyDescent="0.3">
      <c r="A560" t="s">
        <v>608</v>
      </c>
      <c r="B560" t="s">
        <v>37</v>
      </c>
      <c r="C560" t="s">
        <v>144</v>
      </c>
      <c r="D560" s="5">
        <v>441354234</v>
      </c>
      <c r="E560">
        <v>200200751</v>
      </c>
      <c r="F560" t="s">
        <v>14</v>
      </c>
      <c r="G560">
        <v>60</v>
      </c>
      <c r="H560" s="1">
        <f t="shared" si="8"/>
        <v>46295</v>
      </c>
      <c r="I560" t="s">
        <v>15</v>
      </c>
      <c r="J560" s="1">
        <v>44443</v>
      </c>
      <c r="K560" t="s">
        <v>22</v>
      </c>
      <c r="L560" s="3">
        <v>4.3200000000000002E-2</v>
      </c>
      <c r="M560" t="s">
        <v>17</v>
      </c>
      <c r="N560" t="s">
        <v>18</v>
      </c>
      <c r="O560">
        <v>583743161.70000005</v>
      </c>
      <c r="P560" s="1">
        <v>46022</v>
      </c>
      <c r="R560" s="7"/>
      <c r="S560" s="7"/>
    </row>
    <row r="561" spans="1:19" x14ac:dyDescent="0.3">
      <c r="A561" t="s">
        <v>609</v>
      </c>
      <c r="B561" t="s">
        <v>24</v>
      </c>
      <c r="C561" t="s">
        <v>25</v>
      </c>
      <c r="D561" s="5">
        <v>661065</v>
      </c>
      <c r="E561">
        <v>83153.55</v>
      </c>
      <c r="F561" t="s">
        <v>14</v>
      </c>
      <c r="G561">
        <v>72</v>
      </c>
      <c r="H561" s="1">
        <f t="shared" si="8"/>
        <v>46507</v>
      </c>
      <c r="I561" t="s">
        <v>15</v>
      </c>
      <c r="J561" s="1">
        <v>44292</v>
      </c>
      <c r="K561" t="s">
        <v>35</v>
      </c>
      <c r="L561" s="3">
        <v>3.8199999999999998E-2</v>
      </c>
      <c r="M561" t="s">
        <v>17</v>
      </c>
      <c r="N561" t="s">
        <v>26</v>
      </c>
      <c r="O561">
        <v>863102.87</v>
      </c>
      <c r="P561" s="1">
        <v>46022</v>
      </c>
      <c r="R561" s="7"/>
      <c r="S561" s="7"/>
    </row>
    <row r="562" spans="1:19" x14ac:dyDescent="0.3">
      <c r="A562" t="s">
        <v>610</v>
      </c>
      <c r="B562" t="s">
        <v>24</v>
      </c>
      <c r="C562" t="s">
        <v>25</v>
      </c>
      <c r="D562" s="5">
        <v>612440</v>
      </c>
      <c r="E562">
        <v>382730.15</v>
      </c>
      <c r="F562" t="s">
        <v>14</v>
      </c>
      <c r="G562">
        <v>174</v>
      </c>
      <c r="H562" s="1">
        <f t="shared" si="8"/>
        <v>49613</v>
      </c>
      <c r="I562" t="s">
        <v>15</v>
      </c>
      <c r="J562" s="1">
        <v>44308</v>
      </c>
      <c r="K562" t="s">
        <v>22</v>
      </c>
      <c r="L562" s="3">
        <v>4.3400000000000001E-2</v>
      </c>
      <c r="M562" t="s">
        <v>17</v>
      </c>
      <c r="N562" t="s">
        <v>26</v>
      </c>
      <c r="O562">
        <v>822423.07</v>
      </c>
      <c r="P562" s="1">
        <v>46022</v>
      </c>
      <c r="R562" s="7"/>
      <c r="S562" s="7"/>
    </row>
    <row r="563" spans="1:19" x14ac:dyDescent="0.3">
      <c r="A563" t="s">
        <v>611</v>
      </c>
      <c r="B563" t="s">
        <v>24</v>
      </c>
      <c r="C563" t="s">
        <v>25</v>
      </c>
      <c r="D563" s="5">
        <v>658594</v>
      </c>
      <c r="E563">
        <v>72558.850000000006</v>
      </c>
      <c r="F563" t="s">
        <v>14</v>
      </c>
      <c r="G563">
        <v>60</v>
      </c>
      <c r="H563" s="1">
        <f t="shared" si="8"/>
        <v>47238</v>
      </c>
      <c r="I563" t="s">
        <v>15</v>
      </c>
      <c r="J563" s="1">
        <v>45407</v>
      </c>
      <c r="K563" t="s">
        <v>35</v>
      </c>
      <c r="L563" s="3">
        <v>4.6300000000000001E-2</v>
      </c>
      <c r="M563" t="s">
        <v>17</v>
      </c>
      <c r="N563" t="s">
        <v>26</v>
      </c>
      <c r="O563">
        <v>857112.49</v>
      </c>
      <c r="P563" s="1">
        <v>46022</v>
      </c>
      <c r="R563" s="7"/>
      <c r="S563" s="7"/>
    </row>
    <row r="564" spans="1:19" x14ac:dyDescent="0.3">
      <c r="A564" t="s">
        <v>612</v>
      </c>
      <c r="B564" t="s">
        <v>24</v>
      </c>
      <c r="C564" t="s">
        <v>28</v>
      </c>
      <c r="D564" s="5">
        <v>10864</v>
      </c>
      <c r="E564">
        <v>8785.24</v>
      </c>
      <c r="F564" t="s">
        <v>14</v>
      </c>
      <c r="G564">
        <v>84</v>
      </c>
      <c r="H564" s="1">
        <f t="shared" si="8"/>
        <v>46843</v>
      </c>
      <c r="I564" t="s">
        <v>15</v>
      </c>
      <c r="J564" s="1">
        <v>44258</v>
      </c>
      <c r="K564" t="s">
        <v>16</v>
      </c>
      <c r="L564" s="3">
        <v>9.5399999999999985E-2</v>
      </c>
      <c r="M564" t="s">
        <v>29</v>
      </c>
      <c r="N564" t="s">
        <v>30</v>
      </c>
      <c r="O564">
        <v>0</v>
      </c>
      <c r="P564" s="1">
        <v>46022</v>
      </c>
      <c r="R564" s="7"/>
      <c r="S564" s="7"/>
    </row>
    <row r="565" spans="1:19" x14ac:dyDescent="0.3">
      <c r="A565" t="s">
        <v>613</v>
      </c>
      <c r="B565" t="s">
        <v>20</v>
      </c>
      <c r="C565" t="s">
        <v>89</v>
      </c>
      <c r="D565" s="5">
        <v>2005932</v>
      </c>
      <c r="E565">
        <v>753808.2</v>
      </c>
      <c r="F565" t="s">
        <v>33</v>
      </c>
      <c r="G565">
        <v>330</v>
      </c>
      <c r="H565" s="1">
        <f t="shared" si="8"/>
        <v>55578</v>
      </c>
      <c r="I565" t="s">
        <v>15</v>
      </c>
      <c r="J565" s="1">
        <v>45525</v>
      </c>
      <c r="K565" t="s">
        <v>22</v>
      </c>
      <c r="L565" s="3">
        <v>6.9599999999999995E-2</v>
      </c>
      <c r="M565" t="s">
        <v>29</v>
      </c>
      <c r="N565" t="s">
        <v>30</v>
      </c>
      <c r="O565">
        <v>0</v>
      </c>
      <c r="P565" s="1">
        <v>46022</v>
      </c>
      <c r="R565" s="7"/>
      <c r="S565" s="7"/>
    </row>
    <row r="566" spans="1:19" x14ac:dyDescent="0.3">
      <c r="A566" t="s">
        <v>614</v>
      </c>
      <c r="B566" t="s">
        <v>24</v>
      </c>
      <c r="C566" t="s">
        <v>28</v>
      </c>
      <c r="D566" s="5">
        <v>2934</v>
      </c>
      <c r="E566">
        <v>399.64</v>
      </c>
      <c r="F566" t="s">
        <v>33</v>
      </c>
      <c r="G566">
        <v>72</v>
      </c>
      <c r="H566" s="1">
        <f t="shared" si="8"/>
        <v>45930</v>
      </c>
      <c r="I566" t="s">
        <v>15</v>
      </c>
      <c r="J566" s="1">
        <v>43735</v>
      </c>
      <c r="K566" t="s">
        <v>35</v>
      </c>
      <c r="L566" s="3">
        <v>3.4300000000000004E-2</v>
      </c>
      <c r="M566" t="s">
        <v>29</v>
      </c>
      <c r="N566" t="s">
        <v>30</v>
      </c>
      <c r="O566">
        <v>0</v>
      </c>
      <c r="P566" s="1">
        <v>46022</v>
      </c>
      <c r="R566" s="7"/>
      <c r="S566" s="7"/>
    </row>
    <row r="567" spans="1:19" x14ac:dyDescent="0.3">
      <c r="A567" t="s">
        <v>615</v>
      </c>
      <c r="B567" t="s">
        <v>24</v>
      </c>
      <c r="C567" t="s">
        <v>28</v>
      </c>
      <c r="D567" s="5">
        <v>24302</v>
      </c>
      <c r="E567">
        <v>15298.37</v>
      </c>
      <c r="F567" t="s">
        <v>33</v>
      </c>
      <c r="G567">
        <v>210</v>
      </c>
      <c r="H567" s="1">
        <f t="shared" si="8"/>
        <v>50495</v>
      </c>
      <c r="I567" t="s">
        <v>15</v>
      </c>
      <c r="J567" s="1">
        <v>44092</v>
      </c>
      <c r="K567" t="s">
        <v>22</v>
      </c>
      <c r="L567" s="3">
        <v>3.2799999999999996E-2</v>
      </c>
      <c r="M567" t="s">
        <v>29</v>
      </c>
      <c r="N567" t="s">
        <v>30</v>
      </c>
      <c r="O567">
        <v>0</v>
      </c>
      <c r="P567" s="1">
        <v>46022</v>
      </c>
      <c r="R567" s="7"/>
      <c r="S567" s="7"/>
    </row>
    <row r="568" spans="1:19" x14ac:dyDescent="0.3">
      <c r="A568" t="s">
        <v>616</v>
      </c>
      <c r="B568" t="s">
        <v>24</v>
      </c>
      <c r="C568" t="s">
        <v>32</v>
      </c>
      <c r="D568" s="5">
        <v>27608</v>
      </c>
      <c r="E568">
        <v>12642.24</v>
      </c>
      <c r="F568" t="s">
        <v>33</v>
      </c>
      <c r="G568">
        <v>36</v>
      </c>
      <c r="H568" s="1">
        <f t="shared" si="8"/>
        <v>46081</v>
      </c>
      <c r="I568" t="s">
        <v>15</v>
      </c>
      <c r="J568" s="1">
        <v>44958</v>
      </c>
      <c r="K568" t="s">
        <v>22</v>
      </c>
      <c r="L568" s="3">
        <v>4.9000000000000002E-2</v>
      </c>
      <c r="M568" t="s">
        <v>29</v>
      </c>
      <c r="N568" t="s">
        <v>30</v>
      </c>
      <c r="O568">
        <v>0</v>
      </c>
      <c r="P568" s="1">
        <v>46022</v>
      </c>
      <c r="R568" s="7"/>
      <c r="S568" s="7"/>
    </row>
    <row r="569" spans="1:19" x14ac:dyDescent="0.3">
      <c r="A569" t="s">
        <v>617</v>
      </c>
      <c r="B569" t="s">
        <v>24</v>
      </c>
      <c r="C569" t="s">
        <v>32</v>
      </c>
      <c r="D569" s="5">
        <v>12160</v>
      </c>
      <c r="E569">
        <v>11873.02</v>
      </c>
      <c r="F569" t="s">
        <v>33</v>
      </c>
      <c r="G569">
        <v>120</v>
      </c>
      <c r="H569" s="1">
        <f t="shared" si="8"/>
        <v>48182</v>
      </c>
      <c r="I569" t="s">
        <v>15</v>
      </c>
      <c r="J569" s="1">
        <v>44501</v>
      </c>
      <c r="K569" t="s">
        <v>39</v>
      </c>
      <c r="L569" s="3">
        <v>8.09E-2</v>
      </c>
      <c r="M569" t="s">
        <v>29</v>
      </c>
      <c r="N569" t="s">
        <v>30</v>
      </c>
      <c r="O569">
        <v>0</v>
      </c>
      <c r="P569" s="1">
        <v>46022</v>
      </c>
      <c r="R569" s="7"/>
      <c r="S569" s="7"/>
    </row>
    <row r="570" spans="1:19" x14ac:dyDescent="0.3">
      <c r="A570" t="s">
        <v>618</v>
      </c>
      <c r="B570" t="s">
        <v>24</v>
      </c>
      <c r="C570" t="s">
        <v>41</v>
      </c>
      <c r="D570" s="5">
        <v>96763</v>
      </c>
      <c r="E570" s="4">
        <v>57068.53</v>
      </c>
      <c r="F570" t="s">
        <v>14</v>
      </c>
      <c r="G570">
        <v>348</v>
      </c>
      <c r="H570" s="1">
        <f t="shared" si="8"/>
        <v>54239</v>
      </c>
      <c r="I570" t="s">
        <v>15</v>
      </c>
      <c r="J570" s="1">
        <v>43643</v>
      </c>
      <c r="K570" t="s">
        <v>101</v>
      </c>
      <c r="L570" s="3">
        <v>0.1454</v>
      </c>
      <c r="M570" t="s">
        <v>17</v>
      </c>
      <c r="N570" t="s">
        <v>42</v>
      </c>
      <c r="O570">
        <v>100821.95</v>
      </c>
      <c r="P570" s="1">
        <v>46022</v>
      </c>
      <c r="R570" s="7"/>
      <c r="S570" s="7"/>
    </row>
    <row r="571" spans="1:19" x14ac:dyDescent="0.3">
      <c r="A571" t="s">
        <v>619</v>
      </c>
      <c r="B571" t="s">
        <v>24</v>
      </c>
      <c r="C571" t="s">
        <v>28</v>
      </c>
      <c r="D571" s="5">
        <v>45563</v>
      </c>
      <c r="E571">
        <v>15843.05</v>
      </c>
      <c r="F571" t="s">
        <v>14</v>
      </c>
      <c r="G571">
        <v>252</v>
      </c>
      <c r="H571" s="1">
        <f t="shared" si="8"/>
        <v>49948</v>
      </c>
      <c r="I571" t="s">
        <v>15</v>
      </c>
      <c r="J571" s="1">
        <v>42248</v>
      </c>
      <c r="K571" t="s">
        <v>22</v>
      </c>
      <c r="L571" s="3">
        <v>4.9599999999999998E-2</v>
      </c>
      <c r="M571" t="s">
        <v>29</v>
      </c>
      <c r="N571" t="s">
        <v>30</v>
      </c>
      <c r="O571">
        <v>0</v>
      </c>
      <c r="P571" s="1">
        <v>46022</v>
      </c>
      <c r="R571" s="7"/>
      <c r="S571" s="7"/>
    </row>
    <row r="572" spans="1:19" x14ac:dyDescent="0.3">
      <c r="A572" t="s">
        <v>620</v>
      </c>
      <c r="B572" t="s">
        <v>24</v>
      </c>
      <c r="C572" t="s">
        <v>32</v>
      </c>
      <c r="D572" s="5">
        <v>36385</v>
      </c>
      <c r="E572">
        <v>26870.15</v>
      </c>
      <c r="F572" t="s">
        <v>33</v>
      </c>
      <c r="G572">
        <v>192</v>
      </c>
      <c r="H572" s="1">
        <f t="shared" si="8"/>
        <v>46904</v>
      </c>
      <c r="I572" t="s">
        <v>15</v>
      </c>
      <c r="J572" s="1">
        <v>41031</v>
      </c>
      <c r="K572" t="s">
        <v>16</v>
      </c>
      <c r="L572" s="3">
        <v>9.1899999999999996E-2</v>
      </c>
      <c r="M572" t="s">
        <v>29</v>
      </c>
      <c r="N572" t="s">
        <v>30</v>
      </c>
      <c r="O572">
        <v>0</v>
      </c>
      <c r="P572" s="1">
        <v>46022</v>
      </c>
      <c r="R572" s="7"/>
      <c r="S572" s="7"/>
    </row>
    <row r="573" spans="1:19" x14ac:dyDescent="0.3">
      <c r="A573" t="s">
        <v>621</v>
      </c>
      <c r="B573" t="s">
        <v>24</v>
      </c>
      <c r="C573" t="s">
        <v>25</v>
      </c>
      <c r="D573" s="5">
        <v>580048</v>
      </c>
      <c r="E573">
        <v>199735.34</v>
      </c>
      <c r="F573" t="s">
        <v>14</v>
      </c>
      <c r="G573">
        <v>60</v>
      </c>
      <c r="H573" s="1">
        <f t="shared" si="8"/>
        <v>46234</v>
      </c>
      <c r="I573" t="s">
        <v>15</v>
      </c>
      <c r="J573" s="1">
        <v>44397</v>
      </c>
      <c r="K573" t="s">
        <v>22</v>
      </c>
      <c r="L573" s="3">
        <v>3.8699999999999998E-2</v>
      </c>
      <c r="M573" t="s">
        <v>17</v>
      </c>
      <c r="N573" t="s">
        <v>26</v>
      </c>
      <c r="O573">
        <v>787578.66</v>
      </c>
      <c r="P573" s="1">
        <v>46022</v>
      </c>
      <c r="R573" s="7"/>
      <c r="S573" s="7"/>
    </row>
    <row r="574" spans="1:19" x14ac:dyDescent="0.3">
      <c r="A574" t="s">
        <v>622</v>
      </c>
      <c r="B574" t="s">
        <v>20</v>
      </c>
      <c r="C574" t="s">
        <v>89</v>
      </c>
      <c r="D574" s="5">
        <v>4356347</v>
      </c>
      <c r="E574">
        <v>3980912.81</v>
      </c>
      <c r="F574" t="s">
        <v>48</v>
      </c>
      <c r="G574">
        <v>258</v>
      </c>
      <c r="H574" s="1">
        <f t="shared" si="8"/>
        <v>52351</v>
      </c>
      <c r="I574" t="s">
        <v>15</v>
      </c>
      <c r="J574" s="1">
        <v>44488</v>
      </c>
      <c r="K574" t="s">
        <v>35</v>
      </c>
      <c r="L574" s="3">
        <v>3.0600000000000002E-2</v>
      </c>
      <c r="M574" t="s">
        <v>17</v>
      </c>
      <c r="N574" t="s">
        <v>42</v>
      </c>
      <c r="O574">
        <v>7994810.7199999997</v>
      </c>
      <c r="P574" s="1">
        <v>46022</v>
      </c>
      <c r="R574" s="7"/>
      <c r="S574" s="7"/>
    </row>
    <row r="575" spans="1:19" x14ac:dyDescent="0.3">
      <c r="A575" t="s">
        <v>623</v>
      </c>
      <c r="B575" t="s">
        <v>37</v>
      </c>
      <c r="C575" t="s">
        <v>74</v>
      </c>
      <c r="D575" s="5">
        <v>74019648</v>
      </c>
      <c r="E575">
        <v>32365074.52</v>
      </c>
      <c r="F575" t="s">
        <v>14</v>
      </c>
      <c r="G575">
        <v>102</v>
      </c>
      <c r="H575" s="1">
        <f t="shared" si="8"/>
        <v>47514</v>
      </c>
      <c r="I575" t="s">
        <v>15</v>
      </c>
      <c r="J575" s="1">
        <v>44383</v>
      </c>
      <c r="K575" t="s">
        <v>39</v>
      </c>
      <c r="L575" s="3">
        <v>6.3E-2</v>
      </c>
      <c r="M575" t="s">
        <v>29</v>
      </c>
      <c r="N575" t="s">
        <v>30</v>
      </c>
      <c r="O575">
        <v>0</v>
      </c>
      <c r="P575" s="1">
        <v>46022</v>
      </c>
      <c r="R575" s="7"/>
      <c r="S575" s="7"/>
    </row>
    <row r="576" spans="1:19" x14ac:dyDescent="0.3">
      <c r="A576" t="s">
        <v>624</v>
      </c>
      <c r="B576" t="s">
        <v>24</v>
      </c>
      <c r="C576" t="s">
        <v>41</v>
      </c>
      <c r="D576" s="5">
        <v>81146</v>
      </c>
      <c r="E576">
        <v>48272.2</v>
      </c>
      <c r="F576" t="s">
        <v>14</v>
      </c>
      <c r="G576">
        <v>60</v>
      </c>
      <c r="H576" s="1">
        <f t="shared" si="8"/>
        <v>45016</v>
      </c>
      <c r="I576" t="s">
        <v>15</v>
      </c>
      <c r="J576" s="1">
        <v>43164</v>
      </c>
      <c r="K576" t="s">
        <v>22</v>
      </c>
      <c r="L576" s="3">
        <v>4.6900000000000004E-2</v>
      </c>
      <c r="M576" t="s">
        <v>17</v>
      </c>
      <c r="N576" t="s">
        <v>42</v>
      </c>
      <c r="O576">
        <v>84331.83</v>
      </c>
      <c r="P576" s="1">
        <v>46022</v>
      </c>
      <c r="R576" s="7"/>
      <c r="S576" s="7"/>
    </row>
    <row r="577" spans="1:19" x14ac:dyDescent="0.3">
      <c r="A577" t="s">
        <v>625</v>
      </c>
      <c r="B577" t="s">
        <v>37</v>
      </c>
      <c r="C577" t="s">
        <v>74</v>
      </c>
      <c r="D577" s="5">
        <v>71162199</v>
      </c>
      <c r="E577">
        <v>10355223.83</v>
      </c>
      <c r="F577" t="s">
        <v>48</v>
      </c>
      <c r="G577">
        <v>270</v>
      </c>
      <c r="H577" s="1">
        <f t="shared" si="8"/>
        <v>52231</v>
      </c>
      <c r="I577" t="s">
        <v>15</v>
      </c>
      <c r="J577" s="1">
        <v>44007</v>
      </c>
      <c r="K577" t="s">
        <v>39</v>
      </c>
      <c r="L577" s="3">
        <v>5.7599999999999998E-2</v>
      </c>
      <c r="M577" t="s">
        <v>17</v>
      </c>
      <c r="N577" t="s">
        <v>18</v>
      </c>
      <c r="O577">
        <v>84843059.609999999</v>
      </c>
      <c r="P577" s="1">
        <v>46022</v>
      </c>
      <c r="R577" s="7"/>
      <c r="S577" s="7"/>
    </row>
    <row r="578" spans="1:19" x14ac:dyDescent="0.3">
      <c r="A578" t="s">
        <v>626</v>
      </c>
      <c r="B578" t="s">
        <v>24</v>
      </c>
      <c r="C578" t="s">
        <v>25</v>
      </c>
      <c r="D578" s="5">
        <v>814790</v>
      </c>
      <c r="E578">
        <v>393958.2</v>
      </c>
      <c r="F578" t="s">
        <v>14</v>
      </c>
      <c r="G578">
        <v>252</v>
      </c>
      <c r="H578" s="1">
        <f t="shared" ref="H578:H641" si="9">EOMONTH(J578,G578)</f>
        <v>48699</v>
      </c>
      <c r="I578" t="s">
        <v>15</v>
      </c>
      <c r="J578" s="1">
        <v>41022</v>
      </c>
      <c r="K578" t="s">
        <v>16</v>
      </c>
      <c r="L578" s="3">
        <v>8.72E-2</v>
      </c>
      <c r="M578" t="s">
        <v>17</v>
      </c>
      <c r="N578" t="s">
        <v>26</v>
      </c>
      <c r="O578">
        <v>1055859.68</v>
      </c>
      <c r="P578" s="1">
        <v>46022</v>
      </c>
      <c r="R578" s="7"/>
      <c r="S578" s="7"/>
    </row>
    <row r="579" spans="1:19" x14ac:dyDescent="0.3">
      <c r="A579" t="s">
        <v>627</v>
      </c>
      <c r="B579" t="s">
        <v>24</v>
      </c>
      <c r="C579" t="s">
        <v>32</v>
      </c>
      <c r="D579" s="5">
        <v>14513</v>
      </c>
      <c r="E579">
        <v>12323.05</v>
      </c>
      <c r="F579" t="s">
        <v>33</v>
      </c>
      <c r="G579">
        <v>180</v>
      </c>
      <c r="H579" s="1">
        <f t="shared" si="9"/>
        <v>47848</v>
      </c>
      <c r="I579" t="s">
        <v>15</v>
      </c>
      <c r="J579" s="1">
        <v>42347</v>
      </c>
      <c r="K579" t="s">
        <v>22</v>
      </c>
      <c r="L579" s="3">
        <v>4.7E-2</v>
      </c>
      <c r="M579" t="s">
        <v>29</v>
      </c>
      <c r="N579" t="s">
        <v>30</v>
      </c>
      <c r="O579">
        <v>0</v>
      </c>
      <c r="P579" s="1">
        <v>46022</v>
      </c>
      <c r="R579" s="7"/>
      <c r="S579" s="7"/>
    </row>
    <row r="580" spans="1:19" x14ac:dyDescent="0.3">
      <c r="A580" t="s">
        <v>628</v>
      </c>
      <c r="B580" t="s">
        <v>24</v>
      </c>
      <c r="C580" t="s">
        <v>25</v>
      </c>
      <c r="D580" s="5">
        <v>889382</v>
      </c>
      <c r="E580">
        <v>733814.4</v>
      </c>
      <c r="F580" t="s">
        <v>14</v>
      </c>
      <c r="G580">
        <v>294</v>
      </c>
      <c r="H580" s="1">
        <f t="shared" si="9"/>
        <v>53692</v>
      </c>
      <c r="I580" t="s">
        <v>15</v>
      </c>
      <c r="J580" s="1">
        <v>44741</v>
      </c>
      <c r="K580" t="s">
        <v>16</v>
      </c>
      <c r="L580" s="3">
        <v>0.1011</v>
      </c>
      <c r="M580" t="s">
        <v>17</v>
      </c>
      <c r="N580" t="s">
        <v>26</v>
      </c>
      <c r="O580">
        <v>1099210.2</v>
      </c>
      <c r="P580" s="1">
        <v>46022</v>
      </c>
      <c r="R580" s="7"/>
      <c r="S580" s="7"/>
    </row>
    <row r="581" spans="1:19" x14ac:dyDescent="0.3">
      <c r="A581" t="s">
        <v>629</v>
      </c>
      <c r="B581" t="s">
        <v>37</v>
      </c>
      <c r="C581" t="s">
        <v>144</v>
      </c>
      <c r="D581" s="5">
        <v>472580626</v>
      </c>
      <c r="E581">
        <v>142665807.09999999</v>
      </c>
      <c r="F581" t="s">
        <v>33</v>
      </c>
      <c r="G581">
        <v>198</v>
      </c>
      <c r="H581" s="1">
        <f t="shared" si="9"/>
        <v>46934</v>
      </c>
      <c r="I581" t="s">
        <v>15</v>
      </c>
      <c r="J581" s="1">
        <v>40904</v>
      </c>
      <c r="K581" t="s">
        <v>39</v>
      </c>
      <c r="L581" s="3">
        <v>8.0500000000000002E-2</v>
      </c>
      <c r="M581" t="s">
        <v>17</v>
      </c>
      <c r="N581" t="s">
        <v>42</v>
      </c>
      <c r="O581">
        <v>930591379</v>
      </c>
      <c r="P581" s="1">
        <v>46022</v>
      </c>
      <c r="R581" s="7"/>
      <c r="S581" s="7"/>
    </row>
    <row r="582" spans="1:19" x14ac:dyDescent="0.3">
      <c r="A582" t="s">
        <v>630</v>
      </c>
      <c r="B582" t="s">
        <v>37</v>
      </c>
      <c r="C582" t="s">
        <v>74</v>
      </c>
      <c r="D582" s="5">
        <v>82910025</v>
      </c>
      <c r="E582">
        <v>25160801.789999999</v>
      </c>
      <c r="F582" t="s">
        <v>48</v>
      </c>
      <c r="G582">
        <v>216</v>
      </c>
      <c r="H582" s="1">
        <f t="shared" si="9"/>
        <v>48944</v>
      </c>
      <c r="I582" t="s">
        <v>15</v>
      </c>
      <c r="J582" s="1">
        <v>42339</v>
      </c>
      <c r="K582" t="s">
        <v>22</v>
      </c>
      <c r="L582" s="3">
        <v>4.3400000000000001E-2</v>
      </c>
      <c r="M582" t="s">
        <v>29</v>
      </c>
      <c r="N582" t="s">
        <v>30</v>
      </c>
      <c r="O582">
        <v>0</v>
      </c>
      <c r="P582" s="1">
        <v>46022</v>
      </c>
      <c r="R582" s="7"/>
      <c r="S582" s="7"/>
    </row>
    <row r="583" spans="1:19" x14ac:dyDescent="0.3">
      <c r="A583" t="s">
        <v>631</v>
      </c>
      <c r="B583" t="s">
        <v>24</v>
      </c>
      <c r="C583" t="s">
        <v>25</v>
      </c>
      <c r="D583" s="5">
        <v>516408</v>
      </c>
      <c r="E583">
        <v>431497.53</v>
      </c>
      <c r="F583" t="s">
        <v>14</v>
      </c>
      <c r="G583">
        <v>216</v>
      </c>
      <c r="H583" s="1">
        <f t="shared" si="9"/>
        <v>49429</v>
      </c>
      <c r="I583" t="s">
        <v>15</v>
      </c>
      <c r="J583" s="1">
        <v>42836</v>
      </c>
      <c r="K583" t="s">
        <v>39</v>
      </c>
      <c r="L583" s="3">
        <v>7.0499999999999993E-2</v>
      </c>
      <c r="M583" t="s">
        <v>17</v>
      </c>
      <c r="N583" t="s">
        <v>26</v>
      </c>
      <c r="O583">
        <v>698272.08</v>
      </c>
      <c r="P583" s="1">
        <v>46022</v>
      </c>
      <c r="R583" s="7"/>
      <c r="S583" s="7"/>
    </row>
    <row r="584" spans="1:19" x14ac:dyDescent="0.3">
      <c r="A584" t="s">
        <v>632</v>
      </c>
      <c r="B584" t="s">
        <v>20</v>
      </c>
      <c r="C584" t="s">
        <v>51</v>
      </c>
      <c r="D584" s="5">
        <v>4905888</v>
      </c>
      <c r="E584">
        <v>4598575.75</v>
      </c>
      <c r="F584" t="s">
        <v>33</v>
      </c>
      <c r="G584">
        <v>108</v>
      </c>
      <c r="H584" s="1">
        <f t="shared" si="9"/>
        <v>48913</v>
      </c>
      <c r="I584" t="s">
        <v>15</v>
      </c>
      <c r="J584" s="1">
        <v>45617</v>
      </c>
      <c r="K584" t="s">
        <v>22</v>
      </c>
      <c r="L584" s="3">
        <v>7.0199999999999999E-2</v>
      </c>
      <c r="M584" t="s">
        <v>29</v>
      </c>
      <c r="N584" t="s">
        <v>30</v>
      </c>
      <c r="O584">
        <v>0</v>
      </c>
      <c r="P584" s="1">
        <v>46022</v>
      </c>
      <c r="R584" s="7"/>
      <c r="S584" s="7"/>
    </row>
    <row r="585" spans="1:19" x14ac:dyDescent="0.3">
      <c r="A585" t="s">
        <v>633</v>
      </c>
      <c r="B585" t="s">
        <v>37</v>
      </c>
      <c r="C585" t="s">
        <v>38</v>
      </c>
      <c r="D585" s="5">
        <v>246869644</v>
      </c>
      <c r="E585" s="4">
        <v>45874509.350000001</v>
      </c>
      <c r="F585" t="s">
        <v>33</v>
      </c>
      <c r="G585">
        <v>180</v>
      </c>
      <c r="H585" s="1">
        <f t="shared" si="9"/>
        <v>48091</v>
      </c>
      <c r="I585" t="s">
        <v>15</v>
      </c>
      <c r="J585" s="1">
        <v>42585</v>
      </c>
      <c r="K585" t="s">
        <v>39</v>
      </c>
      <c r="L585" s="3">
        <v>0.13570000000000002</v>
      </c>
      <c r="M585" t="s">
        <v>17</v>
      </c>
      <c r="N585" t="s">
        <v>54</v>
      </c>
      <c r="O585">
        <v>343226145.30000001</v>
      </c>
      <c r="P585" s="1">
        <v>46022</v>
      </c>
      <c r="R585" s="7"/>
      <c r="S585" s="7"/>
    </row>
    <row r="586" spans="1:19" x14ac:dyDescent="0.3">
      <c r="A586" t="s">
        <v>634</v>
      </c>
      <c r="B586" t="s">
        <v>12</v>
      </c>
      <c r="C586" t="s">
        <v>13</v>
      </c>
      <c r="D586" s="5">
        <v>43313829</v>
      </c>
      <c r="E586">
        <v>21875769.350000001</v>
      </c>
      <c r="F586" t="s">
        <v>48</v>
      </c>
      <c r="G586">
        <v>342</v>
      </c>
      <c r="H586" s="1">
        <f t="shared" si="9"/>
        <v>52047</v>
      </c>
      <c r="I586" t="s">
        <v>15</v>
      </c>
      <c r="J586" s="1">
        <v>41634</v>
      </c>
      <c r="K586" t="s">
        <v>39</v>
      </c>
      <c r="L586" s="3">
        <v>7.0800000000000002E-2</v>
      </c>
      <c r="M586" t="s">
        <v>17</v>
      </c>
      <c r="N586" t="s">
        <v>26</v>
      </c>
      <c r="O586">
        <v>81284274.829999998</v>
      </c>
      <c r="P586" s="1">
        <v>46022</v>
      </c>
      <c r="R586" s="7"/>
      <c r="S586" s="7"/>
    </row>
    <row r="587" spans="1:19" x14ac:dyDescent="0.3">
      <c r="A587" t="s">
        <v>635</v>
      </c>
      <c r="B587" t="s">
        <v>24</v>
      </c>
      <c r="C587" t="s">
        <v>25</v>
      </c>
      <c r="D587" s="5">
        <v>629858</v>
      </c>
      <c r="E587">
        <v>254279.4</v>
      </c>
      <c r="F587" t="s">
        <v>14</v>
      </c>
      <c r="G587">
        <v>174</v>
      </c>
      <c r="H587" s="1">
        <f t="shared" si="9"/>
        <v>46203</v>
      </c>
      <c r="I587" t="s">
        <v>15</v>
      </c>
      <c r="J587" s="1">
        <v>40884</v>
      </c>
      <c r="K587" t="s">
        <v>56</v>
      </c>
      <c r="L587" s="3">
        <v>4.1500000000000002E-2</v>
      </c>
      <c r="M587" t="s">
        <v>17</v>
      </c>
      <c r="N587" t="s">
        <v>26</v>
      </c>
      <c r="O587">
        <v>788400.83</v>
      </c>
      <c r="P587" s="1">
        <v>46022</v>
      </c>
      <c r="R587" s="7"/>
      <c r="S587" s="7"/>
    </row>
    <row r="588" spans="1:19" x14ac:dyDescent="0.3">
      <c r="A588" t="s">
        <v>636</v>
      </c>
      <c r="B588" t="s">
        <v>24</v>
      </c>
      <c r="C588" t="s">
        <v>25</v>
      </c>
      <c r="D588" s="5">
        <v>437797</v>
      </c>
      <c r="E588">
        <v>386845.94</v>
      </c>
      <c r="F588" t="s">
        <v>14</v>
      </c>
      <c r="G588">
        <v>300</v>
      </c>
      <c r="H588" s="1">
        <f t="shared" si="9"/>
        <v>51713</v>
      </c>
      <c r="I588" t="s">
        <v>15</v>
      </c>
      <c r="J588" s="1">
        <v>42564</v>
      </c>
      <c r="K588" t="s">
        <v>22</v>
      </c>
      <c r="L588" s="3">
        <v>4.4600000000000001E-2</v>
      </c>
      <c r="M588" t="s">
        <v>17</v>
      </c>
      <c r="N588" t="s">
        <v>26</v>
      </c>
      <c r="O588">
        <v>585672.04</v>
      </c>
      <c r="P588" s="1">
        <v>46022</v>
      </c>
      <c r="R588" s="7"/>
      <c r="S588" s="7"/>
    </row>
    <row r="589" spans="1:19" x14ac:dyDescent="0.3">
      <c r="A589" t="s">
        <v>637</v>
      </c>
      <c r="B589" t="s">
        <v>37</v>
      </c>
      <c r="C589" t="s">
        <v>38</v>
      </c>
      <c r="D589" s="5">
        <v>150033942</v>
      </c>
      <c r="E589">
        <v>26281809.219999999</v>
      </c>
      <c r="F589" t="s">
        <v>33</v>
      </c>
      <c r="G589">
        <v>180</v>
      </c>
      <c r="H589" s="1">
        <f t="shared" si="9"/>
        <v>46691</v>
      </c>
      <c r="I589" t="s">
        <v>15</v>
      </c>
      <c r="J589" s="1">
        <v>41190</v>
      </c>
      <c r="K589" t="s">
        <v>39</v>
      </c>
      <c r="L589" s="3">
        <v>6.1200000000000004E-2</v>
      </c>
      <c r="M589" t="s">
        <v>17</v>
      </c>
      <c r="N589" t="s">
        <v>42</v>
      </c>
      <c r="O589">
        <v>195681537.5</v>
      </c>
      <c r="P589" s="1">
        <v>46022</v>
      </c>
      <c r="R589" s="7"/>
      <c r="S589" s="7"/>
    </row>
    <row r="590" spans="1:19" x14ac:dyDescent="0.3">
      <c r="A590" t="s">
        <v>638</v>
      </c>
      <c r="B590" t="s">
        <v>24</v>
      </c>
      <c r="C590" t="s">
        <v>25</v>
      </c>
      <c r="D590" s="5">
        <v>282901</v>
      </c>
      <c r="E590">
        <v>82045</v>
      </c>
      <c r="F590" t="s">
        <v>14</v>
      </c>
      <c r="G590">
        <v>150</v>
      </c>
      <c r="H590" s="1">
        <f t="shared" si="9"/>
        <v>46387</v>
      </c>
      <c r="I590" t="s">
        <v>15</v>
      </c>
      <c r="J590" s="1">
        <v>41793</v>
      </c>
      <c r="K590" t="s">
        <v>56</v>
      </c>
      <c r="L590" s="3">
        <v>3.4799999999999998E-2</v>
      </c>
      <c r="M590" t="s">
        <v>17</v>
      </c>
      <c r="N590" t="s">
        <v>26</v>
      </c>
      <c r="O590">
        <v>334446.64</v>
      </c>
      <c r="P590" s="1">
        <v>46022</v>
      </c>
      <c r="R590" s="7"/>
      <c r="S590" s="7"/>
    </row>
    <row r="591" spans="1:19" x14ac:dyDescent="0.3">
      <c r="A591" t="s">
        <v>639</v>
      </c>
      <c r="B591" t="s">
        <v>20</v>
      </c>
      <c r="C591" t="s">
        <v>51</v>
      </c>
      <c r="D591" s="5">
        <v>3820901</v>
      </c>
      <c r="E591">
        <v>2969686.46</v>
      </c>
      <c r="F591" t="s">
        <v>48</v>
      </c>
      <c r="G591">
        <v>90</v>
      </c>
      <c r="H591" s="1">
        <f t="shared" si="9"/>
        <v>45077</v>
      </c>
      <c r="I591" t="s">
        <v>15</v>
      </c>
      <c r="J591" s="1">
        <v>42312</v>
      </c>
      <c r="K591" t="s">
        <v>56</v>
      </c>
      <c r="L591" s="3">
        <v>3.2199999999999999E-2</v>
      </c>
      <c r="M591" t="s">
        <v>29</v>
      </c>
      <c r="N591" t="s">
        <v>30</v>
      </c>
      <c r="O591">
        <v>0</v>
      </c>
      <c r="P591" s="1">
        <v>46022</v>
      </c>
      <c r="R591" s="7"/>
      <c r="S591" s="7"/>
    </row>
    <row r="592" spans="1:19" x14ac:dyDescent="0.3">
      <c r="A592" t="s">
        <v>640</v>
      </c>
      <c r="B592" t="s">
        <v>24</v>
      </c>
      <c r="C592" t="s">
        <v>25</v>
      </c>
      <c r="D592" s="5">
        <v>447886</v>
      </c>
      <c r="E592">
        <v>65465.08</v>
      </c>
      <c r="F592" t="s">
        <v>14</v>
      </c>
      <c r="G592">
        <v>60</v>
      </c>
      <c r="H592" s="1">
        <f t="shared" si="9"/>
        <v>45777</v>
      </c>
      <c r="I592" t="s">
        <v>15</v>
      </c>
      <c r="J592" s="1">
        <v>43929</v>
      </c>
      <c r="K592" t="s">
        <v>22</v>
      </c>
      <c r="L592" s="3">
        <v>3.2000000000000001E-2</v>
      </c>
      <c r="M592" t="s">
        <v>17</v>
      </c>
      <c r="N592" t="s">
        <v>26</v>
      </c>
      <c r="O592">
        <v>602994.84</v>
      </c>
      <c r="P592" s="1">
        <v>46022</v>
      </c>
      <c r="R592" s="7"/>
      <c r="S592" s="7"/>
    </row>
    <row r="593" spans="1:19" x14ac:dyDescent="0.3">
      <c r="A593" t="s">
        <v>641</v>
      </c>
      <c r="B593" t="s">
        <v>24</v>
      </c>
      <c r="C593" t="s">
        <v>32</v>
      </c>
      <c r="D593" s="5">
        <v>26053</v>
      </c>
      <c r="E593">
        <v>14153.85</v>
      </c>
      <c r="F593" t="s">
        <v>33</v>
      </c>
      <c r="G593">
        <v>336</v>
      </c>
      <c r="H593" s="1">
        <f t="shared" si="9"/>
        <v>51348</v>
      </c>
      <c r="I593" t="s">
        <v>15</v>
      </c>
      <c r="J593" s="1">
        <v>41117</v>
      </c>
      <c r="K593" t="s">
        <v>22</v>
      </c>
      <c r="L593" s="3">
        <v>0.04</v>
      </c>
      <c r="M593" t="s">
        <v>29</v>
      </c>
      <c r="N593" t="s">
        <v>30</v>
      </c>
      <c r="O593">
        <v>0</v>
      </c>
      <c r="P593" s="1">
        <v>46022</v>
      </c>
      <c r="R593" s="7"/>
      <c r="S593" s="7"/>
    </row>
    <row r="594" spans="1:19" x14ac:dyDescent="0.3">
      <c r="A594" t="s">
        <v>642</v>
      </c>
      <c r="B594" t="s">
        <v>24</v>
      </c>
      <c r="C594" t="s">
        <v>41</v>
      </c>
      <c r="D594" s="5">
        <v>54309</v>
      </c>
      <c r="E594">
        <v>27040.400000000001</v>
      </c>
      <c r="F594" t="s">
        <v>14</v>
      </c>
      <c r="G594">
        <v>252</v>
      </c>
      <c r="H594" s="1">
        <f t="shared" si="9"/>
        <v>53174</v>
      </c>
      <c r="I594" t="s">
        <v>15</v>
      </c>
      <c r="J594" s="1">
        <v>45485</v>
      </c>
      <c r="K594" t="s">
        <v>22</v>
      </c>
      <c r="L594" s="3">
        <v>7.46E-2</v>
      </c>
      <c r="M594" t="s">
        <v>17</v>
      </c>
      <c r="N594" t="s">
        <v>42</v>
      </c>
      <c r="O594">
        <v>64724.46</v>
      </c>
      <c r="P594" s="1">
        <v>46022</v>
      </c>
      <c r="R594" s="7"/>
      <c r="S594" s="7"/>
    </row>
    <row r="595" spans="1:19" x14ac:dyDescent="0.3">
      <c r="A595" t="s">
        <v>643</v>
      </c>
      <c r="B595" t="s">
        <v>37</v>
      </c>
      <c r="C595" t="s">
        <v>144</v>
      </c>
      <c r="D595" s="5">
        <v>292866724</v>
      </c>
      <c r="E595">
        <v>117428152.5</v>
      </c>
      <c r="F595" t="s">
        <v>33</v>
      </c>
      <c r="G595">
        <v>174</v>
      </c>
      <c r="H595" s="1">
        <f t="shared" si="9"/>
        <v>49064</v>
      </c>
      <c r="I595" t="s">
        <v>15</v>
      </c>
      <c r="J595" s="1">
        <v>43739</v>
      </c>
      <c r="K595" t="s">
        <v>22</v>
      </c>
      <c r="L595" s="3">
        <v>4.6100000000000002E-2</v>
      </c>
      <c r="M595" t="s">
        <v>29</v>
      </c>
      <c r="N595" t="s">
        <v>30</v>
      </c>
      <c r="O595">
        <v>0</v>
      </c>
      <c r="P595" s="1">
        <v>46022</v>
      </c>
      <c r="R595" s="7"/>
      <c r="S595" s="7"/>
    </row>
    <row r="596" spans="1:19" x14ac:dyDescent="0.3">
      <c r="A596" t="s">
        <v>644</v>
      </c>
      <c r="B596" t="s">
        <v>24</v>
      </c>
      <c r="C596" t="s">
        <v>41</v>
      </c>
      <c r="D596" s="5">
        <v>87902</v>
      </c>
      <c r="E596">
        <v>40005.5</v>
      </c>
      <c r="F596" t="s">
        <v>14</v>
      </c>
      <c r="G596">
        <v>90</v>
      </c>
      <c r="H596" s="1">
        <f t="shared" si="9"/>
        <v>46053</v>
      </c>
      <c r="I596" t="s">
        <v>15</v>
      </c>
      <c r="J596" s="1">
        <v>43305</v>
      </c>
      <c r="K596" t="s">
        <v>35</v>
      </c>
      <c r="L596" s="3">
        <v>4.6300000000000001E-2</v>
      </c>
      <c r="M596" t="s">
        <v>17</v>
      </c>
      <c r="N596" t="s">
        <v>42</v>
      </c>
      <c r="O596">
        <v>103601.12</v>
      </c>
      <c r="P596" s="1">
        <v>46022</v>
      </c>
      <c r="R596" s="7"/>
      <c r="S596" s="7"/>
    </row>
    <row r="597" spans="1:19" x14ac:dyDescent="0.3">
      <c r="A597" t="s">
        <v>645</v>
      </c>
      <c r="B597" t="s">
        <v>20</v>
      </c>
      <c r="C597" t="s">
        <v>89</v>
      </c>
      <c r="D597" s="5">
        <v>4904660</v>
      </c>
      <c r="E597">
        <v>2829726.41</v>
      </c>
      <c r="F597" t="s">
        <v>14</v>
      </c>
      <c r="G597">
        <v>174</v>
      </c>
      <c r="H597" s="1">
        <f t="shared" si="9"/>
        <v>48760</v>
      </c>
      <c r="I597" t="s">
        <v>15</v>
      </c>
      <c r="J597" s="1">
        <v>43458</v>
      </c>
      <c r="K597" t="s">
        <v>39</v>
      </c>
      <c r="L597" s="3">
        <v>7.3099999999999998E-2</v>
      </c>
      <c r="M597" t="s">
        <v>17</v>
      </c>
      <c r="N597" t="s">
        <v>26</v>
      </c>
      <c r="O597">
        <v>9198454.7300000004</v>
      </c>
      <c r="P597" s="1">
        <v>46022</v>
      </c>
      <c r="R597" s="7"/>
      <c r="S597" s="7"/>
    </row>
    <row r="598" spans="1:19" x14ac:dyDescent="0.3">
      <c r="A598" t="s">
        <v>646</v>
      </c>
      <c r="B598" t="s">
        <v>24</v>
      </c>
      <c r="C598" t="s">
        <v>25</v>
      </c>
      <c r="D598" s="5">
        <v>466826</v>
      </c>
      <c r="E598">
        <v>114479.98</v>
      </c>
      <c r="F598" t="s">
        <v>14</v>
      </c>
      <c r="G598">
        <v>240</v>
      </c>
      <c r="H598" s="1">
        <f t="shared" si="9"/>
        <v>49034</v>
      </c>
      <c r="I598" t="s">
        <v>15</v>
      </c>
      <c r="J598" s="1">
        <v>41705</v>
      </c>
      <c r="K598" t="s">
        <v>22</v>
      </c>
      <c r="L598" s="3">
        <v>4.8600000000000004E-2</v>
      </c>
      <c r="M598" t="s">
        <v>17</v>
      </c>
      <c r="N598" t="s">
        <v>26</v>
      </c>
      <c r="O598">
        <v>549512.38</v>
      </c>
      <c r="P598" s="1">
        <v>46022</v>
      </c>
      <c r="R598" s="7"/>
      <c r="S598" s="7"/>
    </row>
    <row r="599" spans="1:19" x14ac:dyDescent="0.3">
      <c r="A599" t="s">
        <v>647</v>
      </c>
      <c r="B599" t="s">
        <v>24</v>
      </c>
      <c r="C599" t="s">
        <v>41</v>
      </c>
      <c r="D599" s="5">
        <v>84477</v>
      </c>
      <c r="E599">
        <v>51935.96</v>
      </c>
      <c r="F599" t="s">
        <v>14</v>
      </c>
      <c r="G599">
        <v>108</v>
      </c>
      <c r="H599" s="1">
        <f t="shared" si="9"/>
        <v>47087</v>
      </c>
      <c r="I599" t="s">
        <v>15</v>
      </c>
      <c r="J599" s="1">
        <v>43787</v>
      </c>
      <c r="K599" t="s">
        <v>35</v>
      </c>
      <c r="L599" s="3">
        <v>4.6100000000000002E-2</v>
      </c>
      <c r="M599" t="s">
        <v>17</v>
      </c>
      <c r="N599" t="s">
        <v>42</v>
      </c>
      <c r="O599">
        <v>98968.8</v>
      </c>
      <c r="P599" s="1">
        <v>46022</v>
      </c>
      <c r="R599" s="7"/>
      <c r="S599" s="7"/>
    </row>
    <row r="600" spans="1:19" x14ac:dyDescent="0.3">
      <c r="A600" t="s">
        <v>648</v>
      </c>
      <c r="B600" t="s">
        <v>24</v>
      </c>
      <c r="C600" t="s">
        <v>28</v>
      </c>
      <c r="D600" s="5">
        <v>38462</v>
      </c>
      <c r="E600">
        <v>31726.77</v>
      </c>
      <c r="F600" t="s">
        <v>14</v>
      </c>
      <c r="G600">
        <v>300</v>
      </c>
      <c r="H600" s="1">
        <f t="shared" si="9"/>
        <v>53417</v>
      </c>
      <c r="I600" t="s">
        <v>15</v>
      </c>
      <c r="J600" s="1">
        <v>44280</v>
      </c>
      <c r="K600" t="s">
        <v>22</v>
      </c>
      <c r="L600" s="3">
        <v>3.8100000000000002E-2</v>
      </c>
      <c r="M600" t="s">
        <v>29</v>
      </c>
      <c r="N600" t="s">
        <v>30</v>
      </c>
      <c r="O600">
        <v>0</v>
      </c>
      <c r="P600" s="1">
        <v>46022</v>
      </c>
      <c r="R600" s="7"/>
      <c r="S600" s="7"/>
    </row>
    <row r="601" spans="1:19" x14ac:dyDescent="0.3">
      <c r="A601" t="s">
        <v>649</v>
      </c>
      <c r="B601" t="s">
        <v>24</v>
      </c>
      <c r="C601" t="s">
        <v>32</v>
      </c>
      <c r="D601" s="5">
        <v>29103</v>
      </c>
      <c r="E601">
        <v>22820.9</v>
      </c>
      <c r="F601" t="s">
        <v>33</v>
      </c>
      <c r="G601">
        <v>342</v>
      </c>
      <c r="H601" s="1">
        <f t="shared" si="9"/>
        <v>50801</v>
      </c>
      <c r="I601" t="s">
        <v>15</v>
      </c>
      <c r="J601" s="1">
        <v>40388</v>
      </c>
      <c r="K601" t="s">
        <v>22</v>
      </c>
      <c r="L601" s="3">
        <v>5.74E-2</v>
      </c>
      <c r="M601" t="s">
        <v>29</v>
      </c>
      <c r="N601" t="s">
        <v>30</v>
      </c>
      <c r="O601">
        <v>0</v>
      </c>
      <c r="P601" s="1">
        <v>46022</v>
      </c>
      <c r="R601" s="7"/>
      <c r="S601" s="7"/>
    </row>
    <row r="602" spans="1:19" x14ac:dyDescent="0.3">
      <c r="A602" t="s">
        <v>650</v>
      </c>
      <c r="B602" t="s">
        <v>24</v>
      </c>
      <c r="C602" t="s">
        <v>32</v>
      </c>
      <c r="D602" s="5">
        <v>47846</v>
      </c>
      <c r="E602">
        <v>11411.82</v>
      </c>
      <c r="F602" t="s">
        <v>33</v>
      </c>
      <c r="G602">
        <v>294</v>
      </c>
      <c r="H602" s="1">
        <f t="shared" si="9"/>
        <v>50648</v>
      </c>
      <c r="I602" t="s">
        <v>15</v>
      </c>
      <c r="J602" s="1">
        <v>41691</v>
      </c>
      <c r="K602" t="s">
        <v>56</v>
      </c>
      <c r="L602" s="3">
        <v>3.5400000000000001E-2</v>
      </c>
      <c r="M602" t="s">
        <v>29</v>
      </c>
      <c r="N602" t="s">
        <v>30</v>
      </c>
      <c r="O602">
        <v>0</v>
      </c>
      <c r="P602" s="1">
        <v>46022</v>
      </c>
      <c r="R602" s="7"/>
      <c r="S602" s="7"/>
    </row>
    <row r="603" spans="1:19" x14ac:dyDescent="0.3">
      <c r="A603" t="s">
        <v>651</v>
      </c>
      <c r="B603" t="s">
        <v>24</v>
      </c>
      <c r="C603" t="s">
        <v>41</v>
      </c>
      <c r="D603" s="5">
        <v>28043</v>
      </c>
      <c r="E603">
        <v>6571.09</v>
      </c>
      <c r="F603" t="s">
        <v>14</v>
      </c>
      <c r="G603">
        <v>264</v>
      </c>
      <c r="H603" s="1">
        <f t="shared" si="9"/>
        <v>49887</v>
      </c>
      <c r="I603" t="s">
        <v>15</v>
      </c>
      <c r="J603" s="1">
        <v>41830</v>
      </c>
      <c r="K603" t="s">
        <v>35</v>
      </c>
      <c r="L603" s="3">
        <v>0.04</v>
      </c>
      <c r="M603" t="s">
        <v>17</v>
      </c>
      <c r="N603" t="s">
        <v>42</v>
      </c>
      <c r="O603">
        <v>28902.51</v>
      </c>
      <c r="P603" s="1">
        <v>46022</v>
      </c>
      <c r="R603" s="7"/>
      <c r="S603" s="7"/>
    </row>
    <row r="604" spans="1:19" x14ac:dyDescent="0.3">
      <c r="A604" t="s">
        <v>652</v>
      </c>
      <c r="B604" t="s">
        <v>24</v>
      </c>
      <c r="C604" t="s">
        <v>41</v>
      </c>
      <c r="D604" s="5">
        <v>19834</v>
      </c>
      <c r="E604">
        <v>6770.4</v>
      </c>
      <c r="F604" t="s">
        <v>14</v>
      </c>
      <c r="G604">
        <v>234</v>
      </c>
      <c r="H604" s="1">
        <f t="shared" si="9"/>
        <v>52717</v>
      </c>
      <c r="I604" t="s">
        <v>15</v>
      </c>
      <c r="J604" s="1">
        <v>45586</v>
      </c>
      <c r="K604" t="s">
        <v>56</v>
      </c>
      <c r="L604" s="3">
        <v>5.1299999999999998E-2</v>
      </c>
      <c r="M604" t="s">
        <v>17</v>
      </c>
      <c r="N604" t="s">
        <v>42</v>
      </c>
      <c r="O604">
        <v>23806.97</v>
      </c>
      <c r="P604" s="1">
        <v>46022</v>
      </c>
      <c r="R604" s="7"/>
      <c r="S604" s="7"/>
    </row>
    <row r="605" spans="1:19" x14ac:dyDescent="0.3">
      <c r="A605" t="s">
        <v>653</v>
      </c>
      <c r="B605" t="s">
        <v>37</v>
      </c>
      <c r="C605" t="s">
        <v>78</v>
      </c>
      <c r="D605" s="5">
        <v>428441364</v>
      </c>
      <c r="E605">
        <v>182073549.80000001</v>
      </c>
      <c r="F605" t="s">
        <v>33</v>
      </c>
      <c r="G605">
        <v>96</v>
      </c>
      <c r="H605" s="1">
        <f t="shared" si="9"/>
        <v>48579</v>
      </c>
      <c r="I605" t="s">
        <v>15</v>
      </c>
      <c r="J605" s="1">
        <v>45635</v>
      </c>
      <c r="K605" t="s">
        <v>39</v>
      </c>
      <c r="L605" s="3">
        <v>0.09</v>
      </c>
      <c r="M605" t="s">
        <v>17</v>
      </c>
      <c r="N605" t="s">
        <v>26</v>
      </c>
      <c r="O605">
        <v>762399333.89999998</v>
      </c>
      <c r="P605" s="1">
        <v>46022</v>
      </c>
      <c r="R605" s="7"/>
      <c r="S605" s="7"/>
    </row>
    <row r="606" spans="1:19" x14ac:dyDescent="0.3">
      <c r="A606" t="s">
        <v>654</v>
      </c>
      <c r="B606" t="s">
        <v>20</v>
      </c>
      <c r="C606" t="s">
        <v>21</v>
      </c>
      <c r="D606" s="5">
        <v>2223792</v>
      </c>
      <c r="E606">
        <v>1039867.24</v>
      </c>
      <c r="F606" t="s">
        <v>33</v>
      </c>
      <c r="G606">
        <v>120</v>
      </c>
      <c r="H606" s="1">
        <f t="shared" si="9"/>
        <v>48395</v>
      </c>
      <c r="I606" t="s">
        <v>15</v>
      </c>
      <c r="J606" s="1">
        <v>44720</v>
      </c>
      <c r="K606" t="s">
        <v>39</v>
      </c>
      <c r="L606" s="3">
        <v>5.9699999999999996E-2</v>
      </c>
      <c r="M606" t="s">
        <v>17</v>
      </c>
      <c r="N606" t="s">
        <v>26</v>
      </c>
      <c r="O606">
        <v>4371043.5599999996</v>
      </c>
      <c r="P606" s="1">
        <v>46022</v>
      </c>
      <c r="R606" s="7"/>
      <c r="S606" s="7"/>
    </row>
    <row r="607" spans="1:19" x14ac:dyDescent="0.3">
      <c r="A607" t="s">
        <v>655</v>
      </c>
      <c r="B607" t="s">
        <v>24</v>
      </c>
      <c r="C607" t="s">
        <v>25</v>
      </c>
      <c r="D607" s="5">
        <v>862272</v>
      </c>
      <c r="E607">
        <v>613702.67000000004</v>
      </c>
      <c r="F607" t="s">
        <v>14</v>
      </c>
      <c r="G607">
        <v>150</v>
      </c>
      <c r="H607" s="1">
        <f t="shared" si="9"/>
        <v>46691</v>
      </c>
      <c r="I607" t="s">
        <v>15</v>
      </c>
      <c r="J607" s="1">
        <v>42109</v>
      </c>
      <c r="K607" t="s">
        <v>39</v>
      </c>
      <c r="L607" s="3">
        <v>6.2300000000000001E-2</v>
      </c>
      <c r="M607" t="s">
        <v>17</v>
      </c>
      <c r="N607" t="s">
        <v>26</v>
      </c>
      <c r="O607">
        <v>1090680.4099999999</v>
      </c>
      <c r="P607" s="1">
        <v>46022</v>
      </c>
      <c r="R607" s="7"/>
      <c r="S607" s="7"/>
    </row>
    <row r="608" spans="1:19" x14ac:dyDescent="0.3">
      <c r="A608" t="s">
        <v>656</v>
      </c>
      <c r="B608" t="s">
        <v>20</v>
      </c>
      <c r="C608" t="s">
        <v>51</v>
      </c>
      <c r="D608" s="5">
        <v>4470797</v>
      </c>
      <c r="E608">
        <v>675145.66</v>
      </c>
      <c r="F608" t="s">
        <v>48</v>
      </c>
      <c r="G608">
        <v>180</v>
      </c>
      <c r="H608" s="1">
        <f t="shared" si="9"/>
        <v>46265</v>
      </c>
      <c r="I608" t="s">
        <v>15</v>
      </c>
      <c r="J608" s="1">
        <v>40760</v>
      </c>
      <c r="K608" t="s">
        <v>39</v>
      </c>
      <c r="L608" s="3">
        <v>8.0299999999999996E-2</v>
      </c>
      <c r="M608" t="s">
        <v>29</v>
      </c>
      <c r="N608" t="s">
        <v>30</v>
      </c>
      <c r="O608">
        <v>0</v>
      </c>
      <c r="P608" s="1">
        <v>46022</v>
      </c>
      <c r="R608" s="7"/>
      <c r="S608" s="7"/>
    </row>
    <row r="609" spans="1:19" x14ac:dyDescent="0.3">
      <c r="A609" t="s">
        <v>657</v>
      </c>
      <c r="B609" t="s">
        <v>24</v>
      </c>
      <c r="C609" t="s">
        <v>32</v>
      </c>
      <c r="D609" s="5">
        <v>4060</v>
      </c>
      <c r="E609">
        <v>532.75</v>
      </c>
      <c r="F609" t="s">
        <v>33</v>
      </c>
      <c r="G609">
        <v>306</v>
      </c>
      <c r="H609" s="1">
        <f t="shared" si="9"/>
        <v>51986</v>
      </c>
      <c r="I609" t="s">
        <v>15</v>
      </c>
      <c r="J609" s="1">
        <v>42663</v>
      </c>
      <c r="K609" t="s">
        <v>39</v>
      </c>
      <c r="L609" s="3">
        <v>6.4000000000000001E-2</v>
      </c>
      <c r="M609" t="s">
        <v>29</v>
      </c>
      <c r="N609" t="s">
        <v>30</v>
      </c>
      <c r="O609">
        <v>0</v>
      </c>
      <c r="P609" s="1">
        <v>46022</v>
      </c>
      <c r="R609" s="7"/>
      <c r="S609" s="7"/>
    </row>
    <row r="610" spans="1:19" x14ac:dyDescent="0.3">
      <c r="A610" t="s">
        <v>658</v>
      </c>
      <c r="B610" t="s">
        <v>20</v>
      </c>
      <c r="C610" t="s">
        <v>47</v>
      </c>
      <c r="D610" s="5">
        <v>4423151</v>
      </c>
      <c r="E610">
        <v>2002446.55</v>
      </c>
      <c r="F610" t="s">
        <v>14</v>
      </c>
      <c r="G610">
        <v>300</v>
      </c>
      <c r="H610" s="1">
        <f t="shared" si="9"/>
        <v>50071</v>
      </c>
      <c r="I610" t="s">
        <v>15</v>
      </c>
      <c r="J610" s="1">
        <v>40912</v>
      </c>
      <c r="K610" t="s">
        <v>22</v>
      </c>
      <c r="L610" s="3">
        <v>4.4600000000000001E-2</v>
      </c>
      <c r="M610" t="s">
        <v>17</v>
      </c>
      <c r="N610" t="s">
        <v>26</v>
      </c>
      <c r="O610">
        <v>7712876.3700000001</v>
      </c>
      <c r="P610" s="1">
        <v>46022</v>
      </c>
      <c r="R610" s="7"/>
      <c r="S610" s="7"/>
    </row>
    <row r="611" spans="1:19" x14ac:dyDescent="0.3">
      <c r="A611" t="s">
        <v>659</v>
      </c>
      <c r="B611" t="s">
        <v>24</v>
      </c>
      <c r="C611" t="s">
        <v>28</v>
      </c>
      <c r="D611" s="5">
        <v>22968</v>
      </c>
      <c r="E611">
        <v>16707.740000000002</v>
      </c>
      <c r="F611" t="s">
        <v>48</v>
      </c>
      <c r="G611">
        <v>252</v>
      </c>
      <c r="H611" s="1">
        <f t="shared" si="9"/>
        <v>49795</v>
      </c>
      <c r="I611" t="s">
        <v>15</v>
      </c>
      <c r="J611" s="1">
        <v>42115</v>
      </c>
      <c r="K611" t="s">
        <v>39</v>
      </c>
      <c r="L611" s="3">
        <v>6.5000000000000002E-2</v>
      </c>
      <c r="M611" t="s">
        <v>29</v>
      </c>
      <c r="N611" t="s">
        <v>30</v>
      </c>
      <c r="O611">
        <v>0</v>
      </c>
      <c r="P611" s="1">
        <v>46022</v>
      </c>
      <c r="R611" s="7"/>
      <c r="S611" s="7"/>
    </row>
    <row r="612" spans="1:19" x14ac:dyDescent="0.3">
      <c r="A612" t="s">
        <v>660</v>
      </c>
      <c r="B612" t="s">
        <v>24</v>
      </c>
      <c r="C612" t="s">
        <v>32</v>
      </c>
      <c r="D612" s="5">
        <v>26011</v>
      </c>
      <c r="E612">
        <v>7129.45</v>
      </c>
      <c r="F612" t="s">
        <v>33</v>
      </c>
      <c r="G612">
        <v>228</v>
      </c>
      <c r="H612" s="1">
        <f t="shared" si="9"/>
        <v>50586</v>
      </c>
      <c r="I612" t="s">
        <v>15</v>
      </c>
      <c r="J612" s="1">
        <v>43623</v>
      </c>
      <c r="K612" t="s">
        <v>56</v>
      </c>
      <c r="L612" s="3">
        <v>3.5099999999999999E-2</v>
      </c>
      <c r="M612" t="s">
        <v>29</v>
      </c>
      <c r="N612" t="s">
        <v>30</v>
      </c>
      <c r="O612">
        <v>0</v>
      </c>
      <c r="P612" s="1">
        <v>46022</v>
      </c>
      <c r="R612" s="7"/>
      <c r="S612" s="7"/>
    </row>
    <row r="613" spans="1:19" x14ac:dyDescent="0.3">
      <c r="A613" t="s">
        <v>661</v>
      </c>
      <c r="B613" t="s">
        <v>24</v>
      </c>
      <c r="C613" t="s">
        <v>32</v>
      </c>
      <c r="D613" s="5">
        <v>31703</v>
      </c>
      <c r="E613">
        <v>21474.18</v>
      </c>
      <c r="F613" t="s">
        <v>33</v>
      </c>
      <c r="G613">
        <v>270</v>
      </c>
      <c r="H613" s="1">
        <f t="shared" si="9"/>
        <v>53417</v>
      </c>
      <c r="I613" t="s">
        <v>15</v>
      </c>
      <c r="J613" s="1">
        <v>45194</v>
      </c>
      <c r="K613" t="s">
        <v>39</v>
      </c>
      <c r="L613" s="3">
        <v>9.64E-2</v>
      </c>
      <c r="M613" t="s">
        <v>29</v>
      </c>
      <c r="N613" t="s">
        <v>30</v>
      </c>
      <c r="O613">
        <v>0</v>
      </c>
      <c r="P613" s="1">
        <v>46022</v>
      </c>
      <c r="R613" s="7"/>
      <c r="S613" s="7"/>
    </row>
    <row r="614" spans="1:19" x14ac:dyDescent="0.3">
      <c r="A614" t="s">
        <v>662</v>
      </c>
      <c r="B614" t="s">
        <v>24</v>
      </c>
      <c r="C614" t="s">
        <v>41</v>
      </c>
      <c r="D614" s="5">
        <v>93374</v>
      </c>
      <c r="E614">
        <v>31172.62</v>
      </c>
      <c r="F614" t="s">
        <v>14</v>
      </c>
      <c r="G614">
        <v>252</v>
      </c>
      <c r="H614" s="1">
        <f t="shared" si="9"/>
        <v>51166</v>
      </c>
      <c r="I614" t="s">
        <v>15</v>
      </c>
      <c r="J614" s="1">
        <v>43467</v>
      </c>
      <c r="K614" t="s">
        <v>39</v>
      </c>
      <c r="L614" s="3">
        <v>6.8699999999999997E-2</v>
      </c>
      <c r="M614" t="s">
        <v>17</v>
      </c>
      <c r="N614" t="s">
        <v>42</v>
      </c>
      <c r="O614">
        <v>97750.69</v>
      </c>
      <c r="P614" s="1">
        <v>46022</v>
      </c>
      <c r="R614" s="7"/>
      <c r="S614" s="7"/>
    </row>
    <row r="615" spans="1:19" x14ac:dyDescent="0.3">
      <c r="A615" t="s">
        <v>663</v>
      </c>
      <c r="B615" t="s">
        <v>20</v>
      </c>
      <c r="C615" t="s">
        <v>47</v>
      </c>
      <c r="D615" s="5">
        <v>144625</v>
      </c>
      <c r="E615">
        <v>129797.39</v>
      </c>
      <c r="F615" t="s">
        <v>33</v>
      </c>
      <c r="G615">
        <v>108</v>
      </c>
      <c r="H615" s="1">
        <f t="shared" si="9"/>
        <v>46873</v>
      </c>
      <c r="I615" t="s">
        <v>15</v>
      </c>
      <c r="J615" s="1">
        <v>43577</v>
      </c>
      <c r="K615" t="s">
        <v>22</v>
      </c>
      <c r="L615" s="3">
        <v>4.4699999999999997E-2</v>
      </c>
      <c r="M615" t="s">
        <v>17</v>
      </c>
      <c r="N615" t="s">
        <v>54</v>
      </c>
      <c r="O615">
        <v>215142.49</v>
      </c>
      <c r="P615" s="1">
        <v>46022</v>
      </c>
      <c r="R615" s="7"/>
      <c r="S615" s="7"/>
    </row>
    <row r="616" spans="1:19" x14ac:dyDescent="0.3">
      <c r="A616" t="s">
        <v>664</v>
      </c>
      <c r="B616" t="s">
        <v>24</v>
      </c>
      <c r="C616" t="s">
        <v>28</v>
      </c>
      <c r="D616" s="5">
        <v>24365</v>
      </c>
      <c r="E616">
        <v>22077.94</v>
      </c>
      <c r="F616" t="s">
        <v>33</v>
      </c>
      <c r="G616">
        <v>348</v>
      </c>
      <c r="H616" s="1">
        <f t="shared" si="9"/>
        <v>55212</v>
      </c>
      <c r="I616" t="s">
        <v>15</v>
      </c>
      <c r="J616" s="1">
        <v>44620</v>
      </c>
      <c r="K616" t="s">
        <v>22</v>
      </c>
      <c r="L616" s="3">
        <v>5.8600000000000006E-2</v>
      </c>
      <c r="M616" t="s">
        <v>29</v>
      </c>
      <c r="N616" t="s">
        <v>30</v>
      </c>
      <c r="O616">
        <v>0</v>
      </c>
      <c r="P616" s="1">
        <v>46022</v>
      </c>
      <c r="R616" s="7"/>
      <c r="S616" s="7"/>
    </row>
    <row r="617" spans="1:19" x14ac:dyDescent="0.3">
      <c r="A617" t="s">
        <v>665</v>
      </c>
      <c r="B617" t="s">
        <v>12</v>
      </c>
      <c r="C617" t="s">
        <v>13</v>
      </c>
      <c r="D617" s="5">
        <v>34698380</v>
      </c>
      <c r="E617">
        <v>12753683.970000001</v>
      </c>
      <c r="F617" t="s">
        <v>48</v>
      </c>
      <c r="G617">
        <v>120</v>
      </c>
      <c r="H617" s="1">
        <f t="shared" si="9"/>
        <v>45412</v>
      </c>
      <c r="I617" t="s">
        <v>15</v>
      </c>
      <c r="J617" s="1">
        <v>41738</v>
      </c>
      <c r="K617" t="s">
        <v>22</v>
      </c>
      <c r="L617" s="3">
        <v>5.3200000000000004E-2</v>
      </c>
      <c r="M617" t="s">
        <v>17</v>
      </c>
      <c r="N617" t="s">
        <v>54</v>
      </c>
      <c r="O617">
        <v>44945714.490000002</v>
      </c>
      <c r="P617" s="1">
        <v>46022</v>
      </c>
      <c r="R617" s="7"/>
      <c r="S617" s="7"/>
    </row>
    <row r="618" spans="1:19" x14ac:dyDescent="0.3">
      <c r="A618" t="s">
        <v>666</v>
      </c>
      <c r="B618" t="s">
        <v>24</v>
      </c>
      <c r="C618" t="s">
        <v>28</v>
      </c>
      <c r="D618" s="5">
        <v>36413</v>
      </c>
      <c r="E618">
        <v>11178.48</v>
      </c>
      <c r="F618" t="s">
        <v>33</v>
      </c>
      <c r="G618">
        <v>348</v>
      </c>
      <c r="H618" s="1">
        <f t="shared" si="9"/>
        <v>51621</v>
      </c>
      <c r="I618" t="s">
        <v>15</v>
      </c>
      <c r="J618" s="1">
        <v>41022</v>
      </c>
      <c r="K618" t="s">
        <v>39</v>
      </c>
      <c r="L618" s="3">
        <v>6.6500000000000004E-2</v>
      </c>
      <c r="M618" t="s">
        <v>29</v>
      </c>
      <c r="N618" t="s">
        <v>30</v>
      </c>
      <c r="O618">
        <v>0</v>
      </c>
      <c r="P618" s="1">
        <v>46022</v>
      </c>
      <c r="R618" s="7"/>
      <c r="S618" s="7"/>
    </row>
    <row r="619" spans="1:19" x14ac:dyDescent="0.3">
      <c r="A619" t="s">
        <v>667</v>
      </c>
      <c r="B619" t="s">
        <v>24</v>
      </c>
      <c r="C619" t="s">
        <v>32</v>
      </c>
      <c r="D619" s="5">
        <v>34934</v>
      </c>
      <c r="E619">
        <v>16425.09</v>
      </c>
      <c r="F619" t="s">
        <v>33</v>
      </c>
      <c r="G619">
        <v>288</v>
      </c>
      <c r="H619" s="1">
        <f t="shared" si="9"/>
        <v>51317</v>
      </c>
      <c r="I619" t="s">
        <v>15</v>
      </c>
      <c r="J619" s="1">
        <v>42528</v>
      </c>
      <c r="K619" t="s">
        <v>39</v>
      </c>
      <c r="L619" s="3">
        <v>5.9699999999999996E-2</v>
      </c>
      <c r="M619" t="s">
        <v>29</v>
      </c>
      <c r="N619" t="s">
        <v>30</v>
      </c>
      <c r="O619">
        <v>0</v>
      </c>
      <c r="P619" s="1">
        <v>46022</v>
      </c>
      <c r="R619" s="7"/>
      <c r="S619" s="7"/>
    </row>
    <row r="620" spans="1:19" x14ac:dyDescent="0.3">
      <c r="A620" t="s">
        <v>668</v>
      </c>
      <c r="B620" t="s">
        <v>24</v>
      </c>
      <c r="C620" t="s">
        <v>28</v>
      </c>
      <c r="D620" s="5">
        <v>7587</v>
      </c>
      <c r="E620">
        <v>2401.2199999999998</v>
      </c>
      <c r="F620" t="s">
        <v>14</v>
      </c>
      <c r="G620">
        <v>150</v>
      </c>
      <c r="H620" s="1">
        <f t="shared" si="9"/>
        <v>49399</v>
      </c>
      <c r="I620" t="s">
        <v>15</v>
      </c>
      <c r="J620" s="1">
        <v>44811</v>
      </c>
      <c r="K620" t="s">
        <v>16</v>
      </c>
      <c r="L620" s="3">
        <v>9.6699999999999994E-2</v>
      </c>
      <c r="M620" t="s">
        <v>29</v>
      </c>
      <c r="N620" t="s">
        <v>30</v>
      </c>
      <c r="O620">
        <v>0</v>
      </c>
      <c r="P620" s="1">
        <v>46022</v>
      </c>
      <c r="R620" s="7"/>
      <c r="S620" s="7"/>
    </row>
    <row r="621" spans="1:19" x14ac:dyDescent="0.3">
      <c r="A621" t="s">
        <v>669</v>
      </c>
      <c r="B621" t="s">
        <v>24</v>
      </c>
      <c r="C621" t="s">
        <v>41</v>
      </c>
      <c r="D621" s="5">
        <v>36946</v>
      </c>
      <c r="E621">
        <v>26052.02</v>
      </c>
      <c r="F621" t="s">
        <v>14</v>
      </c>
      <c r="G621">
        <v>342</v>
      </c>
      <c r="H621" s="1">
        <f t="shared" si="9"/>
        <v>52993</v>
      </c>
      <c r="I621" t="s">
        <v>15</v>
      </c>
      <c r="J621" s="1">
        <v>42565</v>
      </c>
      <c r="K621" t="s">
        <v>22</v>
      </c>
      <c r="L621" s="3">
        <v>4.0899999999999999E-2</v>
      </c>
      <c r="M621" t="s">
        <v>17</v>
      </c>
      <c r="N621" t="s">
        <v>42</v>
      </c>
      <c r="O621">
        <v>43681.38</v>
      </c>
      <c r="P621" s="1">
        <v>46022</v>
      </c>
      <c r="R621" s="7"/>
      <c r="S621" s="7"/>
    </row>
    <row r="622" spans="1:19" x14ac:dyDescent="0.3">
      <c r="A622" t="s">
        <v>670</v>
      </c>
      <c r="B622" t="s">
        <v>20</v>
      </c>
      <c r="C622" t="s">
        <v>51</v>
      </c>
      <c r="D622" s="5">
        <v>1825642</v>
      </c>
      <c r="E622">
        <v>1539852.62</v>
      </c>
      <c r="F622" t="s">
        <v>48</v>
      </c>
      <c r="G622">
        <v>228</v>
      </c>
      <c r="H622" s="1">
        <f t="shared" si="9"/>
        <v>50829</v>
      </c>
      <c r="I622" t="s">
        <v>15</v>
      </c>
      <c r="J622" s="1">
        <v>43868</v>
      </c>
      <c r="K622" t="s">
        <v>39</v>
      </c>
      <c r="L622" s="3">
        <v>5.0700000000000002E-2</v>
      </c>
      <c r="M622" t="s">
        <v>17</v>
      </c>
      <c r="N622" t="s">
        <v>26</v>
      </c>
      <c r="O622">
        <v>2501684.48</v>
      </c>
      <c r="P622" s="1">
        <v>46022</v>
      </c>
      <c r="R622" s="7"/>
      <c r="S622" s="7"/>
    </row>
    <row r="623" spans="1:19" x14ac:dyDescent="0.3">
      <c r="A623" t="s">
        <v>671</v>
      </c>
      <c r="B623" t="s">
        <v>12</v>
      </c>
      <c r="C623" t="s">
        <v>61</v>
      </c>
      <c r="D623" s="5">
        <v>40417423</v>
      </c>
      <c r="E623">
        <v>28525926.859999999</v>
      </c>
      <c r="F623" t="s">
        <v>14</v>
      </c>
      <c r="G623">
        <v>78</v>
      </c>
      <c r="H623" s="1">
        <f t="shared" si="9"/>
        <v>45626</v>
      </c>
      <c r="I623" t="s">
        <v>15</v>
      </c>
      <c r="J623" s="1">
        <v>43236</v>
      </c>
      <c r="K623" t="s">
        <v>22</v>
      </c>
      <c r="L623" s="3">
        <v>5.7599999999999998E-2</v>
      </c>
      <c r="M623" t="s">
        <v>29</v>
      </c>
      <c r="N623" t="s">
        <v>30</v>
      </c>
      <c r="O623">
        <v>0</v>
      </c>
      <c r="P623" s="1">
        <v>46022</v>
      </c>
      <c r="R623" s="7"/>
      <c r="S623" s="7"/>
    </row>
    <row r="624" spans="1:19" x14ac:dyDescent="0.3">
      <c r="A624" t="s">
        <v>672</v>
      </c>
      <c r="B624" t="s">
        <v>12</v>
      </c>
      <c r="C624" t="s">
        <v>61</v>
      </c>
      <c r="D624" s="5">
        <v>14659234</v>
      </c>
      <c r="E624">
        <v>12341834.68</v>
      </c>
      <c r="F624" t="s">
        <v>14</v>
      </c>
      <c r="G624">
        <v>60</v>
      </c>
      <c r="H624" s="1">
        <f t="shared" si="9"/>
        <v>46507</v>
      </c>
      <c r="I624" t="s">
        <v>15</v>
      </c>
      <c r="J624" s="1">
        <v>44655</v>
      </c>
      <c r="K624" t="s">
        <v>16</v>
      </c>
      <c r="L624" s="3">
        <v>9.4299999999999995E-2</v>
      </c>
      <c r="M624" t="s">
        <v>17</v>
      </c>
      <c r="N624" t="s">
        <v>18</v>
      </c>
      <c r="O624">
        <v>22282648.739999998</v>
      </c>
      <c r="P624" s="1">
        <v>46022</v>
      </c>
      <c r="R624" s="7"/>
      <c r="S624" s="7"/>
    </row>
    <row r="625" spans="1:19" x14ac:dyDescent="0.3">
      <c r="A625" t="s">
        <v>673</v>
      </c>
      <c r="B625" t="s">
        <v>24</v>
      </c>
      <c r="C625" t="s">
        <v>41</v>
      </c>
      <c r="D625" s="5">
        <v>28963</v>
      </c>
      <c r="E625">
        <v>13244.78</v>
      </c>
      <c r="F625" t="s">
        <v>14</v>
      </c>
      <c r="G625">
        <v>330</v>
      </c>
      <c r="H625" s="1">
        <f t="shared" si="9"/>
        <v>53327</v>
      </c>
      <c r="I625" t="s">
        <v>15</v>
      </c>
      <c r="J625" s="1">
        <v>43276</v>
      </c>
      <c r="K625" t="s">
        <v>22</v>
      </c>
      <c r="L625" s="3">
        <v>4.9800000000000004E-2</v>
      </c>
      <c r="M625" t="s">
        <v>17</v>
      </c>
      <c r="N625" t="s">
        <v>42</v>
      </c>
      <c r="O625">
        <v>36065.760000000002</v>
      </c>
      <c r="P625" s="1">
        <v>46022</v>
      </c>
      <c r="R625" s="7"/>
      <c r="S625" s="7"/>
    </row>
    <row r="626" spans="1:19" x14ac:dyDescent="0.3">
      <c r="A626" t="s">
        <v>674</v>
      </c>
      <c r="B626" t="s">
        <v>24</v>
      </c>
      <c r="C626" t="s">
        <v>41</v>
      </c>
      <c r="D626" s="5">
        <v>96170</v>
      </c>
      <c r="E626">
        <v>23146.78</v>
      </c>
      <c r="F626" t="s">
        <v>14</v>
      </c>
      <c r="G626">
        <v>84</v>
      </c>
      <c r="H626" s="1">
        <f t="shared" si="9"/>
        <v>47514</v>
      </c>
      <c r="I626" t="s">
        <v>15</v>
      </c>
      <c r="J626" s="1">
        <v>44935</v>
      </c>
      <c r="K626" t="s">
        <v>22</v>
      </c>
      <c r="L626" s="3">
        <v>7.2700000000000001E-2</v>
      </c>
      <c r="M626" t="s">
        <v>17</v>
      </c>
      <c r="N626" t="s">
        <v>42</v>
      </c>
      <c r="O626">
        <v>108631.58</v>
      </c>
      <c r="P626" s="1">
        <v>46022</v>
      </c>
      <c r="R626" s="7"/>
      <c r="S626" s="7"/>
    </row>
    <row r="627" spans="1:19" x14ac:dyDescent="0.3">
      <c r="A627" t="s">
        <v>675</v>
      </c>
      <c r="B627" t="s">
        <v>24</v>
      </c>
      <c r="C627" t="s">
        <v>28</v>
      </c>
      <c r="D627" s="5">
        <v>1434</v>
      </c>
      <c r="E627">
        <v>1096.03</v>
      </c>
      <c r="F627" t="s">
        <v>14</v>
      </c>
      <c r="G627">
        <v>198</v>
      </c>
      <c r="H627" s="1">
        <f t="shared" si="9"/>
        <v>48944</v>
      </c>
      <c r="I627" t="s">
        <v>15</v>
      </c>
      <c r="J627" s="1">
        <v>42901</v>
      </c>
      <c r="K627" t="s">
        <v>22</v>
      </c>
      <c r="L627" s="3">
        <v>4.4999999999999998E-2</v>
      </c>
      <c r="M627" t="s">
        <v>29</v>
      </c>
      <c r="N627" t="s">
        <v>30</v>
      </c>
      <c r="O627">
        <v>0</v>
      </c>
      <c r="P627" s="1">
        <v>46022</v>
      </c>
      <c r="R627" s="7"/>
      <c r="S627" s="7"/>
    </row>
    <row r="628" spans="1:19" x14ac:dyDescent="0.3">
      <c r="A628" t="s">
        <v>676</v>
      </c>
      <c r="B628" t="s">
        <v>37</v>
      </c>
      <c r="C628" t="s">
        <v>74</v>
      </c>
      <c r="D628" s="5">
        <v>498932219</v>
      </c>
      <c r="E628">
        <v>211760332.30000001</v>
      </c>
      <c r="F628" t="s">
        <v>48</v>
      </c>
      <c r="G628">
        <v>168</v>
      </c>
      <c r="H628" s="1">
        <f t="shared" si="9"/>
        <v>46326</v>
      </c>
      <c r="I628" t="s">
        <v>15</v>
      </c>
      <c r="J628" s="1">
        <v>41207</v>
      </c>
      <c r="K628" t="s">
        <v>39</v>
      </c>
      <c r="L628" s="3">
        <v>6.0299999999999999E-2</v>
      </c>
      <c r="M628" t="s">
        <v>17</v>
      </c>
      <c r="N628" t="s">
        <v>42</v>
      </c>
      <c r="O628">
        <v>662053434.70000005</v>
      </c>
      <c r="P628" s="1">
        <v>46022</v>
      </c>
      <c r="R628" s="7"/>
      <c r="S628" s="7"/>
    </row>
    <row r="629" spans="1:19" x14ac:dyDescent="0.3">
      <c r="A629" t="s">
        <v>677</v>
      </c>
      <c r="B629" t="s">
        <v>37</v>
      </c>
      <c r="C629" t="s">
        <v>92</v>
      </c>
      <c r="D629" s="5">
        <v>341642436</v>
      </c>
      <c r="E629" s="4">
        <v>240565383.90000001</v>
      </c>
      <c r="F629" t="s">
        <v>33</v>
      </c>
      <c r="G629">
        <v>312</v>
      </c>
      <c r="H629" s="1">
        <f t="shared" si="9"/>
        <v>50525</v>
      </c>
      <c r="I629" t="s">
        <v>15</v>
      </c>
      <c r="J629" s="1">
        <v>41009</v>
      </c>
      <c r="K629" t="s">
        <v>16</v>
      </c>
      <c r="L629" s="3">
        <v>0.14099999999999999</v>
      </c>
      <c r="M629" t="s">
        <v>29</v>
      </c>
      <c r="N629" t="s">
        <v>30</v>
      </c>
      <c r="O629">
        <v>0</v>
      </c>
      <c r="P629" s="1">
        <v>46022</v>
      </c>
      <c r="R629" s="7"/>
      <c r="S629" s="7"/>
    </row>
    <row r="630" spans="1:19" x14ac:dyDescent="0.3">
      <c r="A630" t="s">
        <v>678</v>
      </c>
      <c r="B630" t="s">
        <v>24</v>
      </c>
      <c r="C630" t="s">
        <v>25</v>
      </c>
      <c r="D630" s="5">
        <v>845622</v>
      </c>
      <c r="E630">
        <v>290538.55</v>
      </c>
      <c r="F630" t="s">
        <v>14</v>
      </c>
      <c r="G630">
        <v>222</v>
      </c>
      <c r="H630" s="1">
        <f t="shared" si="9"/>
        <v>50436</v>
      </c>
      <c r="I630" t="s">
        <v>15</v>
      </c>
      <c r="J630" s="1">
        <v>43658</v>
      </c>
      <c r="K630" t="s">
        <v>56</v>
      </c>
      <c r="L630" s="3">
        <v>3.1600000000000003E-2</v>
      </c>
      <c r="M630" t="s">
        <v>17</v>
      </c>
      <c r="N630" t="s">
        <v>26</v>
      </c>
      <c r="O630">
        <v>1040291.03</v>
      </c>
      <c r="P630" s="1">
        <v>46022</v>
      </c>
      <c r="R630" s="7"/>
      <c r="S630" s="7"/>
    </row>
    <row r="631" spans="1:19" x14ac:dyDescent="0.3">
      <c r="A631" t="s">
        <v>679</v>
      </c>
      <c r="B631" t="s">
        <v>24</v>
      </c>
      <c r="C631" t="s">
        <v>32</v>
      </c>
      <c r="D631" s="5">
        <v>15436</v>
      </c>
      <c r="E631">
        <v>2672.14</v>
      </c>
      <c r="F631" t="s">
        <v>33</v>
      </c>
      <c r="G631">
        <v>60</v>
      </c>
      <c r="H631" s="1">
        <f t="shared" si="9"/>
        <v>45473</v>
      </c>
      <c r="I631" t="s">
        <v>15</v>
      </c>
      <c r="J631" s="1">
        <v>43631</v>
      </c>
      <c r="K631" t="s">
        <v>56</v>
      </c>
      <c r="L631" s="3">
        <v>3.61E-2</v>
      </c>
      <c r="M631" t="s">
        <v>29</v>
      </c>
      <c r="N631" t="s">
        <v>30</v>
      </c>
      <c r="O631">
        <v>0</v>
      </c>
      <c r="P631" s="1">
        <v>46022</v>
      </c>
      <c r="R631" s="7"/>
      <c r="S631" s="7"/>
    </row>
    <row r="632" spans="1:19" x14ac:dyDescent="0.3">
      <c r="A632" t="s">
        <v>680</v>
      </c>
      <c r="B632" t="s">
        <v>24</v>
      </c>
      <c r="C632" t="s">
        <v>28</v>
      </c>
      <c r="D632" s="5">
        <v>1701</v>
      </c>
      <c r="E632">
        <v>1690.09</v>
      </c>
      <c r="F632" t="s">
        <v>14</v>
      </c>
      <c r="G632">
        <v>264</v>
      </c>
      <c r="H632" s="1">
        <f t="shared" si="9"/>
        <v>50221</v>
      </c>
      <c r="I632" t="s">
        <v>15</v>
      </c>
      <c r="J632" s="1">
        <v>42171</v>
      </c>
      <c r="K632" t="s">
        <v>16</v>
      </c>
      <c r="L632" s="3">
        <v>9.0299999999999991E-2</v>
      </c>
      <c r="M632" t="s">
        <v>29</v>
      </c>
      <c r="N632" t="s">
        <v>30</v>
      </c>
      <c r="O632">
        <v>0</v>
      </c>
      <c r="P632" s="1">
        <v>46022</v>
      </c>
      <c r="R632" s="7"/>
      <c r="S632" s="7"/>
    </row>
    <row r="633" spans="1:19" x14ac:dyDescent="0.3">
      <c r="A633" t="s">
        <v>681</v>
      </c>
      <c r="B633" t="s">
        <v>37</v>
      </c>
      <c r="C633" t="s">
        <v>92</v>
      </c>
      <c r="D633" s="5">
        <v>371556064</v>
      </c>
      <c r="E633">
        <v>89389462.150000006</v>
      </c>
      <c r="F633" t="s">
        <v>14</v>
      </c>
      <c r="G633">
        <v>204</v>
      </c>
      <c r="H633" s="1">
        <f t="shared" si="9"/>
        <v>49034</v>
      </c>
      <c r="I633" t="s">
        <v>15</v>
      </c>
      <c r="J633" s="1">
        <v>42824</v>
      </c>
      <c r="K633" t="s">
        <v>22</v>
      </c>
      <c r="L633" s="3">
        <v>4.7100000000000003E-2</v>
      </c>
      <c r="M633" t="s">
        <v>29</v>
      </c>
      <c r="N633" t="s">
        <v>30</v>
      </c>
      <c r="O633">
        <v>0</v>
      </c>
      <c r="P633" s="1">
        <v>46022</v>
      </c>
      <c r="R633" s="7"/>
      <c r="S633" s="7"/>
    </row>
    <row r="634" spans="1:19" x14ac:dyDescent="0.3">
      <c r="A634" t="s">
        <v>682</v>
      </c>
      <c r="B634" t="s">
        <v>24</v>
      </c>
      <c r="C634" t="s">
        <v>28</v>
      </c>
      <c r="D634" s="5">
        <v>41873</v>
      </c>
      <c r="E634">
        <v>41436.730000000003</v>
      </c>
      <c r="F634" t="s">
        <v>14</v>
      </c>
      <c r="G634">
        <v>264</v>
      </c>
      <c r="H634" s="1">
        <f t="shared" si="9"/>
        <v>52778</v>
      </c>
      <c r="I634" t="s">
        <v>15</v>
      </c>
      <c r="J634" s="1">
        <v>44740</v>
      </c>
      <c r="K634" t="s">
        <v>39</v>
      </c>
      <c r="L634" s="3">
        <v>7.0099999999999996E-2</v>
      </c>
      <c r="M634" t="s">
        <v>29</v>
      </c>
      <c r="N634" t="s">
        <v>30</v>
      </c>
      <c r="O634">
        <v>0</v>
      </c>
      <c r="P634" s="1">
        <v>46022</v>
      </c>
      <c r="R634" s="7"/>
      <c r="S634" s="7"/>
    </row>
    <row r="635" spans="1:19" x14ac:dyDescent="0.3">
      <c r="A635" t="s">
        <v>683</v>
      </c>
      <c r="B635" t="s">
        <v>12</v>
      </c>
      <c r="C635" t="s">
        <v>13</v>
      </c>
      <c r="D635" s="5">
        <v>37283330</v>
      </c>
      <c r="E635">
        <v>36520958.670000002</v>
      </c>
      <c r="F635" t="s">
        <v>33</v>
      </c>
      <c r="G635">
        <v>150</v>
      </c>
      <c r="H635" s="1">
        <f t="shared" si="9"/>
        <v>45808</v>
      </c>
      <c r="I635" t="s">
        <v>15</v>
      </c>
      <c r="J635" s="1">
        <v>41236</v>
      </c>
      <c r="K635" t="s">
        <v>22</v>
      </c>
      <c r="L635" s="3">
        <v>4.4800000000000006E-2</v>
      </c>
      <c r="M635" t="s">
        <v>29</v>
      </c>
      <c r="N635" t="s">
        <v>30</v>
      </c>
      <c r="O635">
        <v>0</v>
      </c>
      <c r="P635" s="1">
        <v>46022</v>
      </c>
      <c r="R635" s="7"/>
      <c r="S635" s="7"/>
    </row>
    <row r="636" spans="1:19" x14ac:dyDescent="0.3">
      <c r="A636" t="s">
        <v>684</v>
      </c>
      <c r="B636" t="s">
        <v>24</v>
      </c>
      <c r="C636" t="s">
        <v>25</v>
      </c>
      <c r="D636" s="5">
        <v>228565</v>
      </c>
      <c r="E636">
        <v>186151.84</v>
      </c>
      <c r="F636" t="s">
        <v>14</v>
      </c>
      <c r="G636">
        <v>324</v>
      </c>
      <c r="H636" s="1">
        <f t="shared" si="9"/>
        <v>50951</v>
      </c>
      <c r="I636" t="s">
        <v>15</v>
      </c>
      <c r="J636" s="1">
        <v>41061</v>
      </c>
      <c r="K636" t="s">
        <v>56</v>
      </c>
      <c r="L636" s="3">
        <v>0.03</v>
      </c>
      <c r="M636" t="s">
        <v>17</v>
      </c>
      <c r="N636" t="s">
        <v>26</v>
      </c>
      <c r="O636">
        <v>295000.94</v>
      </c>
      <c r="P636" s="1">
        <v>46022</v>
      </c>
      <c r="R636" s="7"/>
      <c r="S636" s="7"/>
    </row>
    <row r="637" spans="1:19" x14ac:dyDescent="0.3">
      <c r="A637" t="s">
        <v>685</v>
      </c>
      <c r="B637" t="s">
        <v>24</v>
      </c>
      <c r="C637" t="s">
        <v>32</v>
      </c>
      <c r="D637" s="5">
        <v>37918</v>
      </c>
      <c r="E637">
        <v>26295.38</v>
      </c>
      <c r="F637" t="s">
        <v>33</v>
      </c>
      <c r="G637">
        <v>30</v>
      </c>
      <c r="H637" s="1">
        <f t="shared" si="9"/>
        <v>45900</v>
      </c>
      <c r="I637" t="s">
        <v>15</v>
      </c>
      <c r="J637" s="1">
        <v>44977</v>
      </c>
      <c r="K637" t="s">
        <v>39</v>
      </c>
      <c r="L637" s="3">
        <v>9.7200000000000009E-2</v>
      </c>
      <c r="M637" t="s">
        <v>29</v>
      </c>
      <c r="N637" t="s">
        <v>30</v>
      </c>
      <c r="O637">
        <v>0</v>
      </c>
      <c r="P637" s="1">
        <v>46022</v>
      </c>
      <c r="R637" s="7"/>
      <c r="S637" s="7"/>
    </row>
    <row r="638" spans="1:19" x14ac:dyDescent="0.3">
      <c r="A638" t="s">
        <v>686</v>
      </c>
      <c r="B638" t="s">
        <v>24</v>
      </c>
      <c r="C638" t="s">
        <v>41</v>
      </c>
      <c r="D638" s="5">
        <v>79203</v>
      </c>
      <c r="E638">
        <v>49107.98</v>
      </c>
      <c r="F638" t="s">
        <v>14</v>
      </c>
      <c r="G638">
        <v>186</v>
      </c>
      <c r="H638" s="1">
        <f t="shared" si="9"/>
        <v>50739</v>
      </c>
      <c r="I638" t="s">
        <v>15</v>
      </c>
      <c r="J638" s="1">
        <v>45047</v>
      </c>
      <c r="K638" t="s">
        <v>39</v>
      </c>
      <c r="L638" s="3">
        <v>9.7299999999999998E-2</v>
      </c>
      <c r="M638" t="s">
        <v>17</v>
      </c>
      <c r="N638" t="s">
        <v>42</v>
      </c>
      <c r="O638">
        <v>97900.97</v>
      </c>
      <c r="P638" s="1">
        <v>46022</v>
      </c>
      <c r="R638" s="7"/>
      <c r="S638" s="7"/>
    </row>
    <row r="639" spans="1:19" x14ac:dyDescent="0.3">
      <c r="A639" t="s">
        <v>687</v>
      </c>
      <c r="B639" t="s">
        <v>24</v>
      </c>
      <c r="C639" t="s">
        <v>32</v>
      </c>
      <c r="D639" s="5">
        <v>33268</v>
      </c>
      <c r="E639">
        <v>29259.35</v>
      </c>
      <c r="F639" t="s">
        <v>33</v>
      </c>
      <c r="G639">
        <v>270</v>
      </c>
      <c r="H639" s="1">
        <f t="shared" si="9"/>
        <v>50709</v>
      </c>
      <c r="I639" t="s">
        <v>15</v>
      </c>
      <c r="J639" s="1">
        <v>42486</v>
      </c>
      <c r="K639" t="s">
        <v>22</v>
      </c>
      <c r="L639" s="3">
        <v>3.7999999999999999E-2</v>
      </c>
      <c r="M639" t="s">
        <v>29</v>
      </c>
      <c r="N639" t="s">
        <v>30</v>
      </c>
      <c r="O639">
        <v>0</v>
      </c>
      <c r="P639" s="1">
        <v>46022</v>
      </c>
      <c r="R639" s="7"/>
      <c r="S639" s="7"/>
    </row>
    <row r="640" spans="1:19" x14ac:dyDescent="0.3">
      <c r="A640" t="s">
        <v>688</v>
      </c>
      <c r="B640" t="s">
        <v>24</v>
      </c>
      <c r="C640" t="s">
        <v>41</v>
      </c>
      <c r="D640" s="5">
        <v>78950</v>
      </c>
      <c r="E640">
        <v>28461.279999999999</v>
      </c>
      <c r="F640" t="s">
        <v>14</v>
      </c>
      <c r="G640">
        <v>60</v>
      </c>
      <c r="H640" s="1">
        <f t="shared" si="9"/>
        <v>45260</v>
      </c>
      <c r="I640" t="s">
        <v>15</v>
      </c>
      <c r="J640" s="1">
        <v>43409</v>
      </c>
      <c r="K640" t="s">
        <v>22</v>
      </c>
      <c r="L640" s="3">
        <v>5.2499999999999998E-2</v>
      </c>
      <c r="M640" t="s">
        <v>17</v>
      </c>
      <c r="N640" t="s">
        <v>42</v>
      </c>
      <c r="O640">
        <v>94302.18</v>
      </c>
      <c r="P640" s="1">
        <v>46022</v>
      </c>
      <c r="R640" s="7"/>
      <c r="S640" s="7"/>
    </row>
    <row r="641" spans="1:19" x14ac:dyDescent="0.3">
      <c r="A641" t="s">
        <v>689</v>
      </c>
      <c r="B641" t="s">
        <v>20</v>
      </c>
      <c r="C641" t="s">
        <v>51</v>
      </c>
      <c r="D641" s="5">
        <v>4237311</v>
      </c>
      <c r="E641">
        <v>2207270.84</v>
      </c>
      <c r="F641" t="s">
        <v>33</v>
      </c>
      <c r="G641">
        <v>252</v>
      </c>
      <c r="H641" s="1">
        <f t="shared" si="9"/>
        <v>50099</v>
      </c>
      <c r="I641" t="s">
        <v>15</v>
      </c>
      <c r="J641" s="1">
        <v>42422</v>
      </c>
      <c r="K641" t="s">
        <v>39</v>
      </c>
      <c r="L641" s="3">
        <v>6.6100000000000006E-2</v>
      </c>
      <c r="M641" t="s">
        <v>17</v>
      </c>
      <c r="N641" t="s">
        <v>26</v>
      </c>
      <c r="O641">
        <v>5674245.1500000004</v>
      </c>
      <c r="P641" s="1">
        <v>46022</v>
      </c>
      <c r="R641" s="7"/>
      <c r="S641" s="7"/>
    </row>
    <row r="642" spans="1:19" x14ac:dyDescent="0.3">
      <c r="A642" t="s">
        <v>690</v>
      </c>
      <c r="B642" t="s">
        <v>12</v>
      </c>
      <c r="C642" t="s">
        <v>63</v>
      </c>
      <c r="D642" s="5">
        <v>31066602</v>
      </c>
      <c r="E642">
        <v>20424767.43</v>
      </c>
      <c r="F642" t="s">
        <v>48</v>
      </c>
      <c r="G642">
        <v>192</v>
      </c>
      <c r="H642" s="1">
        <f t="shared" ref="H642:H705" si="10">EOMONTH(J642,G642)</f>
        <v>47026</v>
      </c>
      <c r="I642" t="s">
        <v>15</v>
      </c>
      <c r="J642" s="1">
        <v>41170</v>
      </c>
      <c r="K642" t="s">
        <v>56</v>
      </c>
      <c r="L642" s="3">
        <v>3.2000000000000001E-2</v>
      </c>
      <c r="M642" t="s">
        <v>29</v>
      </c>
      <c r="N642" t="s">
        <v>30</v>
      </c>
      <c r="O642">
        <v>0</v>
      </c>
      <c r="P642" s="1">
        <v>46022</v>
      </c>
      <c r="R642" s="7"/>
      <c r="S642" s="7"/>
    </row>
    <row r="643" spans="1:19" x14ac:dyDescent="0.3">
      <c r="A643" t="s">
        <v>691</v>
      </c>
      <c r="B643" t="s">
        <v>37</v>
      </c>
      <c r="C643" t="s">
        <v>74</v>
      </c>
      <c r="D643" s="5">
        <v>53416310</v>
      </c>
      <c r="E643">
        <v>25109481.059999999</v>
      </c>
      <c r="F643" t="s">
        <v>33</v>
      </c>
      <c r="G643">
        <v>198</v>
      </c>
      <c r="H643" s="1">
        <f t="shared" si="10"/>
        <v>49765</v>
      </c>
      <c r="I643" t="s">
        <v>15</v>
      </c>
      <c r="J643" s="1">
        <v>43731</v>
      </c>
      <c r="K643" t="s">
        <v>16</v>
      </c>
      <c r="L643" s="3">
        <v>8.6199999999999999E-2</v>
      </c>
      <c r="M643" t="s">
        <v>17</v>
      </c>
      <c r="N643" t="s">
        <v>54</v>
      </c>
      <c r="O643">
        <v>73573486.140000001</v>
      </c>
      <c r="P643" s="1">
        <v>46022</v>
      </c>
      <c r="R643" s="7"/>
      <c r="S643" s="7"/>
    </row>
    <row r="644" spans="1:19" x14ac:dyDescent="0.3">
      <c r="A644" t="s">
        <v>692</v>
      </c>
      <c r="B644" t="s">
        <v>24</v>
      </c>
      <c r="C644" t="s">
        <v>32</v>
      </c>
      <c r="D644" s="5">
        <v>24894</v>
      </c>
      <c r="E644">
        <v>12066.95</v>
      </c>
      <c r="F644" t="s">
        <v>33</v>
      </c>
      <c r="G644">
        <v>180</v>
      </c>
      <c r="H644" s="1">
        <f t="shared" si="10"/>
        <v>48579</v>
      </c>
      <c r="I644" t="s">
        <v>15</v>
      </c>
      <c r="J644" s="1">
        <v>43091</v>
      </c>
      <c r="K644" t="s">
        <v>22</v>
      </c>
      <c r="L644" s="3">
        <v>5.2300000000000006E-2</v>
      </c>
      <c r="M644" t="s">
        <v>29</v>
      </c>
      <c r="N644" t="s">
        <v>30</v>
      </c>
      <c r="O644">
        <v>0</v>
      </c>
      <c r="P644" s="1">
        <v>46022</v>
      </c>
      <c r="R644" s="7"/>
      <c r="S644" s="7"/>
    </row>
    <row r="645" spans="1:19" x14ac:dyDescent="0.3">
      <c r="A645" t="s">
        <v>693</v>
      </c>
      <c r="B645" t="s">
        <v>20</v>
      </c>
      <c r="C645" t="s">
        <v>21</v>
      </c>
      <c r="D645" s="5">
        <v>434364</v>
      </c>
      <c r="E645">
        <v>172553.88</v>
      </c>
      <c r="F645" t="s">
        <v>48</v>
      </c>
      <c r="G645">
        <v>180</v>
      </c>
      <c r="H645" s="1">
        <f t="shared" si="10"/>
        <v>47330</v>
      </c>
      <c r="I645" t="s">
        <v>15</v>
      </c>
      <c r="J645" s="1">
        <v>41848</v>
      </c>
      <c r="K645" t="s">
        <v>22</v>
      </c>
      <c r="L645" s="3">
        <v>5.3099999999999994E-2</v>
      </c>
      <c r="M645" t="s">
        <v>29</v>
      </c>
      <c r="N645" t="s">
        <v>30</v>
      </c>
      <c r="O645">
        <v>0</v>
      </c>
      <c r="P645" s="1">
        <v>46022</v>
      </c>
      <c r="R645" s="7"/>
      <c r="S645" s="7"/>
    </row>
    <row r="646" spans="1:19" x14ac:dyDescent="0.3">
      <c r="A646" t="s">
        <v>694</v>
      </c>
      <c r="B646" t="s">
        <v>24</v>
      </c>
      <c r="C646" t="s">
        <v>41</v>
      </c>
      <c r="D646" s="5">
        <v>46679</v>
      </c>
      <c r="E646">
        <v>28371.82</v>
      </c>
      <c r="F646" t="s">
        <v>14</v>
      </c>
      <c r="G646">
        <v>300</v>
      </c>
      <c r="H646" s="1">
        <f t="shared" si="10"/>
        <v>54635</v>
      </c>
      <c r="I646" t="s">
        <v>15</v>
      </c>
      <c r="J646" s="1">
        <v>45492</v>
      </c>
      <c r="K646" t="s">
        <v>16</v>
      </c>
      <c r="L646" s="3">
        <v>0.11840000000000001</v>
      </c>
      <c r="M646" t="s">
        <v>17</v>
      </c>
      <c r="N646" t="s">
        <v>42</v>
      </c>
      <c r="O646">
        <v>47166.48</v>
      </c>
      <c r="P646" s="1">
        <v>46022</v>
      </c>
      <c r="R646" s="7"/>
      <c r="S646" s="7"/>
    </row>
    <row r="647" spans="1:19" x14ac:dyDescent="0.3">
      <c r="A647" t="s">
        <v>695</v>
      </c>
      <c r="B647" t="s">
        <v>37</v>
      </c>
      <c r="C647" t="s">
        <v>74</v>
      </c>
      <c r="D647" s="5">
        <v>209482180</v>
      </c>
      <c r="E647">
        <v>181310403.5</v>
      </c>
      <c r="F647" t="s">
        <v>48</v>
      </c>
      <c r="G647">
        <v>150</v>
      </c>
      <c r="H647" s="1">
        <f t="shared" si="10"/>
        <v>45443</v>
      </c>
      <c r="I647" t="s">
        <v>15</v>
      </c>
      <c r="J647" s="1">
        <v>40850</v>
      </c>
      <c r="K647" t="s">
        <v>39</v>
      </c>
      <c r="L647" s="3">
        <v>7.1900000000000006E-2</v>
      </c>
      <c r="M647" t="s">
        <v>29</v>
      </c>
      <c r="N647" t="s">
        <v>30</v>
      </c>
      <c r="O647">
        <v>0</v>
      </c>
      <c r="P647" s="1">
        <v>46022</v>
      </c>
      <c r="R647" s="7"/>
      <c r="S647" s="7"/>
    </row>
    <row r="648" spans="1:19" x14ac:dyDescent="0.3">
      <c r="A648" t="s">
        <v>696</v>
      </c>
      <c r="B648" t="s">
        <v>20</v>
      </c>
      <c r="C648" t="s">
        <v>21</v>
      </c>
      <c r="D648" s="5">
        <v>376749</v>
      </c>
      <c r="E648">
        <v>106007.88</v>
      </c>
      <c r="F648" t="s">
        <v>48</v>
      </c>
      <c r="G648">
        <v>174</v>
      </c>
      <c r="H648" s="1">
        <f t="shared" si="10"/>
        <v>49705</v>
      </c>
      <c r="I648" t="s">
        <v>15</v>
      </c>
      <c r="J648" s="1">
        <v>44406</v>
      </c>
      <c r="K648" t="s">
        <v>22</v>
      </c>
      <c r="L648" s="3">
        <v>4.1399999999999999E-2</v>
      </c>
      <c r="M648" t="s">
        <v>17</v>
      </c>
      <c r="N648" t="s">
        <v>18</v>
      </c>
      <c r="O648">
        <v>506104.03</v>
      </c>
      <c r="P648" s="1">
        <v>46022</v>
      </c>
      <c r="R648" s="7"/>
      <c r="S648" s="7"/>
    </row>
    <row r="649" spans="1:19" x14ac:dyDescent="0.3">
      <c r="A649" t="s">
        <v>697</v>
      </c>
      <c r="B649" t="s">
        <v>37</v>
      </c>
      <c r="C649" t="s">
        <v>78</v>
      </c>
      <c r="D649" s="5">
        <v>180922062</v>
      </c>
      <c r="E649">
        <v>170245802.80000001</v>
      </c>
      <c r="F649" t="s">
        <v>48</v>
      </c>
      <c r="G649">
        <v>240</v>
      </c>
      <c r="H649" s="1">
        <f t="shared" si="10"/>
        <v>48060</v>
      </c>
      <c r="I649" t="s">
        <v>15</v>
      </c>
      <c r="J649" s="1">
        <v>40744</v>
      </c>
      <c r="K649" t="s">
        <v>39</v>
      </c>
      <c r="L649" s="3">
        <v>8.0600000000000005E-2</v>
      </c>
      <c r="M649" t="s">
        <v>17</v>
      </c>
      <c r="N649" t="s">
        <v>18</v>
      </c>
      <c r="O649">
        <v>223068311.40000001</v>
      </c>
      <c r="P649" s="1">
        <v>46022</v>
      </c>
      <c r="R649" s="7"/>
      <c r="S649" s="7"/>
    </row>
    <row r="650" spans="1:19" x14ac:dyDescent="0.3">
      <c r="A650" t="s">
        <v>698</v>
      </c>
      <c r="B650" t="s">
        <v>24</v>
      </c>
      <c r="C650" t="s">
        <v>41</v>
      </c>
      <c r="D650" s="5">
        <v>19990</v>
      </c>
      <c r="E650">
        <v>14396.25</v>
      </c>
      <c r="F650" t="s">
        <v>14</v>
      </c>
      <c r="G650">
        <v>156</v>
      </c>
      <c r="H650" s="1">
        <f t="shared" si="10"/>
        <v>48975</v>
      </c>
      <c r="I650" t="s">
        <v>15</v>
      </c>
      <c r="J650" s="1">
        <v>44223</v>
      </c>
      <c r="K650" t="s">
        <v>22</v>
      </c>
      <c r="L650" s="3">
        <v>4.0800000000000003E-2</v>
      </c>
      <c r="M650" t="s">
        <v>17</v>
      </c>
      <c r="N650" t="s">
        <v>42</v>
      </c>
      <c r="O650">
        <v>23407.279999999999</v>
      </c>
      <c r="P650" s="1">
        <v>46022</v>
      </c>
      <c r="R650" s="7"/>
      <c r="S650" s="7"/>
    </row>
    <row r="651" spans="1:19" x14ac:dyDescent="0.3">
      <c r="A651" t="s">
        <v>699</v>
      </c>
      <c r="B651" t="s">
        <v>24</v>
      </c>
      <c r="C651" t="s">
        <v>28</v>
      </c>
      <c r="D651" s="5">
        <v>40604</v>
      </c>
      <c r="E651">
        <v>34145.370000000003</v>
      </c>
      <c r="F651" t="s">
        <v>48</v>
      </c>
      <c r="G651">
        <v>342</v>
      </c>
      <c r="H651" s="1">
        <f t="shared" si="10"/>
        <v>53751</v>
      </c>
      <c r="I651" t="s">
        <v>15</v>
      </c>
      <c r="J651" s="1">
        <v>43327</v>
      </c>
      <c r="K651" t="s">
        <v>22</v>
      </c>
      <c r="L651" s="3">
        <v>5.4699999999999999E-2</v>
      </c>
      <c r="M651" t="s">
        <v>29</v>
      </c>
      <c r="N651" t="s">
        <v>30</v>
      </c>
      <c r="O651">
        <v>0</v>
      </c>
      <c r="P651" s="1">
        <v>46022</v>
      </c>
      <c r="R651" s="7"/>
      <c r="S651" s="7"/>
    </row>
    <row r="652" spans="1:19" x14ac:dyDescent="0.3">
      <c r="A652" t="s">
        <v>700</v>
      </c>
      <c r="B652" t="s">
        <v>24</v>
      </c>
      <c r="C652" t="s">
        <v>32</v>
      </c>
      <c r="D652" s="5">
        <v>47437</v>
      </c>
      <c r="E652" s="4">
        <v>28489.14</v>
      </c>
      <c r="F652" t="s">
        <v>33</v>
      </c>
      <c r="G652">
        <v>180</v>
      </c>
      <c r="H652" s="1">
        <f t="shared" si="10"/>
        <v>50495</v>
      </c>
      <c r="I652" t="s">
        <v>15</v>
      </c>
      <c r="J652" s="1">
        <v>45007</v>
      </c>
      <c r="K652" t="s">
        <v>101</v>
      </c>
      <c r="L652" s="3">
        <v>0.17449999999999999</v>
      </c>
      <c r="M652" t="s">
        <v>29</v>
      </c>
      <c r="N652" t="s">
        <v>30</v>
      </c>
      <c r="O652">
        <v>0</v>
      </c>
      <c r="P652" s="1">
        <v>46022</v>
      </c>
      <c r="R652" s="7"/>
      <c r="S652" s="7"/>
    </row>
    <row r="653" spans="1:19" x14ac:dyDescent="0.3">
      <c r="A653" t="s">
        <v>701</v>
      </c>
      <c r="B653" t="s">
        <v>24</v>
      </c>
      <c r="C653" t="s">
        <v>28</v>
      </c>
      <c r="D653" s="5">
        <v>4544</v>
      </c>
      <c r="E653">
        <v>3641.92</v>
      </c>
      <c r="F653" t="s">
        <v>14</v>
      </c>
      <c r="G653">
        <v>60</v>
      </c>
      <c r="H653" s="1">
        <f t="shared" si="10"/>
        <v>47573</v>
      </c>
      <c r="I653" t="s">
        <v>15</v>
      </c>
      <c r="J653" s="1">
        <v>45739</v>
      </c>
      <c r="K653" t="s">
        <v>39</v>
      </c>
      <c r="L653" s="3">
        <v>7.6399999999999996E-2</v>
      </c>
      <c r="M653" t="s">
        <v>29</v>
      </c>
      <c r="N653" t="s">
        <v>30</v>
      </c>
      <c r="O653">
        <v>0</v>
      </c>
      <c r="P653" s="1">
        <v>46022</v>
      </c>
      <c r="R653" s="7"/>
      <c r="S653" s="7"/>
    </row>
    <row r="654" spans="1:19" x14ac:dyDescent="0.3">
      <c r="A654" t="s">
        <v>702</v>
      </c>
      <c r="B654" t="s">
        <v>24</v>
      </c>
      <c r="C654" t="s">
        <v>25</v>
      </c>
      <c r="D654" s="5">
        <v>959604</v>
      </c>
      <c r="E654">
        <v>109951.73</v>
      </c>
      <c r="F654" t="s">
        <v>14</v>
      </c>
      <c r="G654">
        <v>156</v>
      </c>
      <c r="H654" s="1">
        <f t="shared" si="10"/>
        <v>47603</v>
      </c>
      <c r="I654" t="s">
        <v>15</v>
      </c>
      <c r="J654" s="1">
        <v>42832</v>
      </c>
      <c r="K654" t="s">
        <v>39</v>
      </c>
      <c r="L654" s="3">
        <v>6.9000000000000006E-2</v>
      </c>
      <c r="M654" t="s">
        <v>17</v>
      </c>
      <c r="N654" t="s">
        <v>26</v>
      </c>
      <c r="O654">
        <v>1199219.03</v>
      </c>
      <c r="P654" s="1">
        <v>46022</v>
      </c>
      <c r="R654" s="7"/>
      <c r="S654" s="7"/>
    </row>
    <row r="655" spans="1:19" x14ac:dyDescent="0.3">
      <c r="A655" t="s">
        <v>703</v>
      </c>
      <c r="B655" t="s">
        <v>24</v>
      </c>
      <c r="C655" t="s">
        <v>28</v>
      </c>
      <c r="D655" s="5">
        <v>26606</v>
      </c>
      <c r="E655">
        <v>22257.26</v>
      </c>
      <c r="F655" t="s">
        <v>33</v>
      </c>
      <c r="G655">
        <v>60</v>
      </c>
      <c r="H655" s="1">
        <f t="shared" si="10"/>
        <v>45199</v>
      </c>
      <c r="I655" t="s">
        <v>15</v>
      </c>
      <c r="J655" s="1">
        <v>43366</v>
      </c>
      <c r="K655" t="s">
        <v>22</v>
      </c>
      <c r="L655" s="3">
        <v>5.5800000000000002E-2</v>
      </c>
      <c r="M655" t="s">
        <v>29</v>
      </c>
      <c r="N655" t="s">
        <v>30</v>
      </c>
      <c r="O655">
        <v>0</v>
      </c>
      <c r="P655" s="1">
        <v>46022</v>
      </c>
      <c r="R655" s="7"/>
      <c r="S655" s="7"/>
    </row>
    <row r="656" spans="1:19" x14ac:dyDescent="0.3">
      <c r="A656" t="s">
        <v>704</v>
      </c>
      <c r="B656" t="s">
        <v>24</v>
      </c>
      <c r="C656" t="s">
        <v>32</v>
      </c>
      <c r="D656" s="5">
        <v>15679</v>
      </c>
      <c r="E656">
        <v>2134.27</v>
      </c>
      <c r="F656" t="s">
        <v>33</v>
      </c>
      <c r="G656">
        <v>24</v>
      </c>
      <c r="H656" s="1">
        <f t="shared" si="10"/>
        <v>45596</v>
      </c>
      <c r="I656" t="s">
        <v>15</v>
      </c>
      <c r="J656" s="1">
        <v>44847</v>
      </c>
      <c r="K656" t="s">
        <v>56</v>
      </c>
      <c r="L656" s="3">
        <v>4.6300000000000001E-2</v>
      </c>
      <c r="M656" t="s">
        <v>29</v>
      </c>
      <c r="N656" t="s">
        <v>30</v>
      </c>
      <c r="O656">
        <v>0</v>
      </c>
      <c r="P656" s="1">
        <v>46022</v>
      </c>
      <c r="R656" s="7"/>
      <c r="S656" s="7"/>
    </row>
    <row r="657" spans="1:19" x14ac:dyDescent="0.3">
      <c r="A657" t="s">
        <v>705</v>
      </c>
      <c r="B657" t="s">
        <v>12</v>
      </c>
      <c r="C657" t="s">
        <v>61</v>
      </c>
      <c r="D657" s="5">
        <v>4766242</v>
      </c>
      <c r="E657">
        <v>4294012.18</v>
      </c>
      <c r="F657" t="s">
        <v>14</v>
      </c>
      <c r="G657">
        <v>276</v>
      </c>
      <c r="H657" s="1">
        <f t="shared" si="10"/>
        <v>53935</v>
      </c>
      <c r="I657" t="s">
        <v>15</v>
      </c>
      <c r="J657" s="1">
        <v>45511</v>
      </c>
      <c r="K657" t="s">
        <v>56</v>
      </c>
      <c r="L657" s="3">
        <v>5.0799999999999998E-2</v>
      </c>
      <c r="M657" t="s">
        <v>17</v>
      </c>
      <c r="N657" t="s">
        <v>18</v>
      </c>
      <c r="O657">
        <v>6126613.6900000004</v>
      </c>
      <c r="P657" s="1">
        <v>46022</v>
      </c>
      <c r="R657" s="7"/>
      <c r="S657" s="7"/>
    </row>
    <row r="658" spans="1:19" x14ac:dyDescent="0.3">
      <c r="A658" t="s">
        <v>706</v>
      </c>
      <c r="B658" t="s">
        <v>37</v>
      </c>
      <c r="C658" t="s">
        <v>78</v>
      </c>
      <c r="D658" s="5">
        <v>255305891</v>
      </c>
      <c r="E658">
        <v>253459129.19999999</v>
      </c>
      <c r="F658" t="s">
        <v>48</v>
      </c>
      <c r="G658">
        <v>120</v>
      </c>
      <c r="H658" s="1">
        <f t="shared" si="10"/>
        <v>46203</v>
      </c>
      <c r="I658" t="s">
        <v>15</v>
      </c>
      <c r="J658" s="1">
        <v>42523</v>
      </c>
      <c r="K658" t="s">
        <v>22</v>
      </c>
      <c r="L658" s="3">
        <v>4.2999999999999997E-2</v>
      </c>
      <c r="M658" t="s">
        <v>29</v>
      </c>
      <c r="N658" t="s">
        <v>30</v>
      </c>
      <c r="O658">
        <v>0</v>
      </c>
      <c r="P658" s="1">
        <v>46022</v>
      </c>
      <c r="R658" s="7"/>
      <c r="S658" s="7"/>
    </row>
    <row r="659" spans="1:19" x14ac:dyDescent="0.3">
      <c r="A659" t="s">
        <v>707</v>
      </c>
      <c r="B659" t="s">
        <v>20</v>
      </c>
      <c r="C659" t="s">
        <v>21</v>
      </c>
      <c r="D659" s="5">
        <v>3982852</v>
      </c>
      <c r="E659">
        <v>1452389.64</v>
      </c>
      <c r="F659" t="s">
        <v>33</v>
      </c>
      <c r="G659">
        <v>150</v>
      </c>
      <c r="H659" s="1">
        <f t="shared" si="10"/>
        <v>45808</v>
      </c>
      <c r="I659" t="s">
        <v>15</v>
      </c>
      <c r="J659" s="1">
        <v>41219</v>
      </c>
      <c r="K659" t="s">
        <v>39</v>
      </c>
      <c r="L659" s="3">
        <v>6.4899999999999999E-2</v>
      </c>
      <c r="M659" t="s">
        <v>17</v>
      </c>
      <c r="N659" t="s">
        <v>18</v>
      </c>
      <c r="O659">
        <v>5956873.0700000003</v>
      </c>
      <c r="P659" s="1">
        <v>46022</v>
      </c>
      <c r="R659" s="7"/>
      <c r="S659" s="7"/>
    </row>
    <row r="660" spans="1:19" x14ac:dyDescent="0.3">
      <c r="A660" t="s">
        <v>708</v>
      </c>
      <c r="B660" t="s">
        <v>24</v>
      </c>
      <c r="C660" t="s">
        <v>28</v>
      </c>
      <c r="D660" s="5">
        <v>35647</v>
      </c>
      <c r="E660">
        <v>10312.27</v>
      </c>
      <c r="F660" t="s">
        <v>14</v>
      </c>
      <c r="G660">
        <v>306</v>
      </c>
      <c r="H660" s="1">
        <f t="shared" si="10"/>
        <v>49795</v>
      </c>
      <c r="I660" t="s">
        <v>15</v>
      </c>
      <c r="J660" s="1">
        <v>40463</v>
      </c>
      <c r="K660" t="s">
        <v>22</v>
      </c>
      <c r="L660" s="3">
        <v>5.9900000000000002E-2</v>
      </c>
      <c r="M660" t="s">
        <v>29</v>
      </c>
      <c r="N660" t="s">
        <v>30</v>
      </c>
      <c r="O660">
        <v>0</v>
      </c>
      <c r="P660" s="1">
        <v>46022</v>
      </c>
      <c r="R660" s="7"/>
      <c r="S660" s="7"/>
    </row>
    <row r="661" spans="1:19" x14ac:dyDescent="0.3">
      <c r="A661" t="s">
        <v>709</v>
      </c>
      <c r="B661" t="s">
        <v>20</v>
      </c>
      <c r="C661" t="s">
        <v>51</v>
      </c>
      <c r="D661" s="5">
        <v>298619</v>
      </c>
      <c r="E661">
        <v>235558.55</v>
      </c>
      <c r="F661" t="s">
        <v>14</v>
      </c>
      <c r="G661">
        <v>120</v>
      </c>
      <c r="H661" s="1">
        <f t="shared" si="10"/>
        <v>45777</v>
      </c>
      <c r="I661" t="s">
        <v>15</v>
      </c>
      <c r="J661" s="1">
        <v>42095</v>
      </c>
      <c r="K661" t="s">
        <v>39</v>
      </c>
      <c r="L661" s="3">
        <v>6.6799999999999998E-2</v>
      </c>
      <c r="M661" t="s">
        <v>29</v>
      </c>
      <c r="N661" t="s">
        <v>30</v>
      </c>
      <c r="O661">
        <v>0</v>
      </c>
      <c r="P661" s="1">
        <v>46022</v>
      </c>
      <c r="R661" s="7"/>
      <c r="S661" s="7"/>
    </row>
    <row r="662" spans="1:19" x14ac:dyDescent="0.3">
      <c r="A662" t="s">
        <v>710</v>
      </c>
      <c r="B662" t="s">
        <v>24</v>
      </c>
      <c r="C662" t="s">
        <v>25</v>
      </c>
      <c r="D662" s="5">
        <v>165612</v>
      </c>
      <c r="E662">
        <v>54274.86</v>
      </c>
      <c r="F662" t="s">
        <v>14</v>
      </c>
      <c r="G662">
        <v>234</v>
      </c>
      <c r="H662" s="1">
        <f t="shared" si="10"/>
        <v>50739</v>
      </c>
      <c r="I662" t="s">
        <v>15</v>
      </c>
      <c r="J662" s="1">
        <v>43591</v>
      </c>
      <c r="K662" t="s">
        <v>56</v>
      </c>
      <c r="L662" s="3">
        <v>3.5099999999999999E-2</v>
      </c>
      <c r="M662" t="s">
        <v>17</v>
      </c>
      <c r="N662" t="s">
        <v>26</v>
      </c>
      <c r="O662">
        <v>219611.43</v>
      </c>
      <c r="P662" s="1">
        <v>46022</v>
      </c>
      <c r="R662" s="7"/>
      <c r="S662" s="7"/>
    </row>
    <row r="663" spans="1:19" x14ac:dyDescent="0.3">
      <c r="A663" t="s">
        <v>711</v>
      </c>
      <c r="B663" t="s">
        <v>20</v>
      </c>
      <c r="C663" t="s">
        <v>47</v>
      </c>
      <c r="D663" s="5">
        <v>2044223</v>
      </c>
      <c r="E663">
        <v>1796884.36</v>
      </c>
      <c r="F663" t="s">
        <v>48</v>
      </c>
      <c r="G663">
        <v>264</v>
      </c>
      <c r="H663" s="1">
        <f t="shared" si="10"/>
        <v>49490</v>
      </c>
      <c r="I663" t="s">
        <v>15</v>
      </c>
      <c r="J663" s="1">
        <v>41437</v>
      </c>
      <c r="K663" t="s">
        <v>22</v>
      </c>
      <c r="L663" s="3">
        <v>5.2400000000000002E-2</v>
      </c>
      <c r="M663" t="s">
        <v>17</v>
      </c>
      <c r="N663" t="s">
        <v>42</v>
      </c>
      <c r="O663">
        <v>3542866.12</v>
      </c>
      <c r="P663" s="1">
        <v>46022</v>
      </c>
      <c r="R663" s="7"/>
      <c r="S663" s="7"/>
    </row>
    <row r="664" spans="1:19" x14ac:dyDescent="0.3">
      <c r="A664" t="s">
        <v>712</v>
      </c>
      <c r="B664" t="s">
        <v>37</v>
      </c>
      <c r="C664" t="s">
        <v>92</v>
      </c>
      <c r="D664" s="5">
        <v>154692342</v>
      </c>
      <c r="E664">
        <v>29787299.510000002</v>
      </c>
      <c r="F664" t="s">
        <v>14</v>
      </c>
      <c r="G664">
        <v>210</v>
      </c>
      <c r="H664" s="1">
        <f t="shared" si="10"/>
        <v>50130</v>
      </c>
      <c r="I664" t="s">
        <v>15</v>
      </c>
      <c r="J664" s="1">
        <v>43719</v>
      </c>
      <c r="K664" t="s">
        <v>35</v>
      </c>
      <c r="L664" s="3">
        <v>3.1600000000000003E-2</v>
      </c>
      <c r="M664" t="s">
        <v>29</v>
      </c>
      <c r="N664" t="s">
        <v>30</v>
      </c>
      <c r="O664">
        <v>0</v>
      </c>
      <c r="P664" s="1">
        <v>46022</v>
      </c>
      <c r="R664" s="7"/>
      <c r="S664" s="7"/>
    </row>
    <row r="665" spans="1:19" x14ac:dyDescent="0.3">
      <c r="A665" t="s">
        <v>713</v>
      </c>
      <c r="B665" t="s">
        <v>24</v>
      </c>
      <c r="C665" t="s">
        <v>28</v>
      </c>
      <c r="D665" s="5">
        <v>12387</v>
      </c>
      <c r="E665">
        <v>2642.85</v>
      </c>
      <c r="F665" t="s">
        <v>14</v>
      </c>
      <c r="G665">
        <v>330</v>
      </c>
      <c r="H665" s="1">
        <f t="shared" si="10"/>
        <v>53631</v>
      </c>
      <c r="I665" t="s">
        <v>15</v>
      </c>
      <c r="J665" s="1">
        <v>43580</v>
      </c>
      <c r="K665" t="s">
        <v>22</v>
      </c>
      <c r="L665" s="3">
        <v>4.4999999999999998E-2</v>
      </c>
      <c r="M665" t="s">
        <v>29</v>
      </c>
      <c r="N665" t="s">
        <v>30</v>
      </c>
      <c r="O665">
        <v>0</v>
      </c>
      <c r="P665" s="1">
        <v>46022</v>
      </c>
      <c r="R665" s="7"/>
      <c r="S665" s="7"/>
    </row>
    <row r="666" spans="1:19" x14ac:dyDescent="0.3">
      <c r="A666" t="s">
        <v>714</v>
      </c>
      <c r="B666" t="s">
        <v>24</v>
      </c>
      <c r="C666" t="s">
        <v>25</v>
      </c>
      <c r="D666" s="5">
        <v>352904</v>
      </c>
      <c r="E666">
        <v>346282.3</v>
      </c>
      <c r="F666" t="s">
        <v>14</v>
      </c>
      <c r="G666">
        <v>138</v>
      </c>
      <c r="H666" s="1">
        <f t="shared" si="10"/>
        <v>49095</v>
      </c>
      <c r="I666" t="s">
        <v>15</v>
      </c>
      <c r="J666" s="1">
        <v>44866</v>
      </c>
      <c r="K666" t="s">
        <v>56</v>
      </c>
      <c r="L666" s="3">
        <v>3.7200000000000004E-2</v>
      </c>
      <c r="M666" t="s">
        <v>17</v>
      </c>
      <c r="N666" t="s">
        <v>26</v>
      </c>
      <c r="O666">
        <v>437076.64</v>
      </c>
      <c r="P666" s="1">
        <v>46022</v>
      </c>
      <c r="R666" s="7"/>
      <c r="S666" s="7"/>
    </row>
    <row r="667" spans="1:19" x14ac:dyDescent="0.3">
      <c r="A667" t="s">
        <v>715</v>
      </c>
      <c r="B667" t="s">
        <v>24</v>
      </c>
      <c r="C667" t="s">
        <v>25</v>
      </c>
      <c r="D667" s="5">
        <v>823134</v>
      </c>
      <c r="E667" s="4">
        <v>581507.47</v>
      </c>
      <c r="F667" t="s">
        <v>14</v>
      </c>
      <c r="G667">
        <v>60</v>
      </c>
      <c r="H667" s="1">
        <f t="shared" si="10"/>
        <v>46295</v>
      </c>
      <c r="I667" t="s">
        <v>15</v>
      </c>
      <c r="J667" s="1">
        <v>44453</v>
      </c>
      <c r="K667" t="s">
        <v>101</v>
      </c>
      <c r="L667" s="3">
        <v>0.1323</v>
      </c>
      <c r="M667" t="s">
        <v>17</v>
      </c>
      <c r="N667" t="s">
        <v>26</v>
      </c>
      <c r="O667">
        <v>1095080.46</v>
      </c>
      <c r="P667" s="1">
        <v>46022</v>
      </c>
      <c r="R667" s="7"/>
      <c r="S667" s="7"/>
    </row>
    <row r="668" spans="1:19" x14ac:dyDescent="0.3">
      <c r="A668" t="s">
        <v>716</v>
      </c>
      <c r="B668" t="s">
        <v>24</v>
      </c>
      <c r="C668" t="s">
        <v>41</v>
      </c>
      <c r="D668" s="5">
        <v>93631</v>
      </c>
      <c r="E668">
        <v>80728.09</v>
      </c>
      <c r="F668" t="s">
        <v>14</v>
      </c>
      <c r="G668">
        <v>60</v>
      </c>
      <c r="H668" s="1">
        <f t="shared" si="10"/>
        <v>45716</v>
      </c>
      <c r="I668" t="s">
        <v>15</v>
      </c>
      <c r="J668" s="1">
        <v>43865</v>
      </c>
      <c r="K668" t="s">
        <v>35</v>
      </c>
      <c r="L668" s="3">
        <v>2.3399999999999997E-2</v>
      </c>
      <c r="M668" t="s">
        <v>17</v>
      </c>
      <c r="N668" t="s">
        <v>42</v>
      </c>
      <c r="O668">
        <v>97803.76</v>
      </c>
      <c r="P668" s="1">
        <v>46022</v>
      </c>
      <c r="R668" s="7"/>
      <c r="S668" s="7"/>
    </row>
    <row r="669" spans="1:19" x14ac:dyDescent="0.3">
      <c r="A669" t="s">
        <v>717</v>
      </c>
      <c r="B669" t="s">
        <v>24</v>
      </c>
      <c r="C669" t="s">
        <v>41</v>
      </c>
      <c r="D669" s="5">
        <v>46459</v>
      </c>
      <c r="E669">
        <v>18207.21</v>
      </c>
      <c r="F669" t="s">
        <v>14</v>
      </c>
      <c r="G669">
        <v>324</v>
      </c>
      <c r="H669" s="1">
        <f t="shared" si="10"/>
        <v>54209</v>
      </c>
      <c r="I669" t="s">
        <v>15</v>
      </c>
      <c r="J669" s="1">
        <v>44334</v>
      </c>
      <c r="K669" t="s">
        <v>16</v>
      </c>
      <c r="L669" s="3">
        <v>8.8100000000000012E-2</v>
      </c>
      <c r="M669" t="s">
        <v>17</v>
      </c>
      <c r="N669" t="s">
        <v>42</v>
      </c>
      <c r="O669">
        <v>53537.59</v>
      </c>
      <c r="P669" s="1">
        <v>46022</v>
      </c>
      <c r="R669" s="7"/>
      <c r="S669" s="7"/>
    </row>
    <row r="670" spans="1:19" x14ac:dyDescent="0.3">
      <c r="A670" t="s">
        <v>718</v>
      </c>
      <c r="B670" t="s">
        <v>24</v>
      </c>
      <c r="C670" t="s">
        <v>28</v>
      </c>
      <c r="D670" s="5">
        <v>45399</v>
      </c>
      <c r="E670">
        <v>32180.73</v>
      </c>
      <c r="F670" t="s">
        <v>14</v>
      </c>
      <c r="G670">
        <v>246</v>
      </c>
      <c r="H670" s="1">
        <f t="shared" si="10"/>
        <v>47726</v>
      </c>
      <c r="I670" t="s">
        <v>15</v>
      </c>
      <c r="J670" s="1">
        <v>40212</v>
      </c>
      <c r="K670" t="s">
        <v>22</v>
      </c>
      <c r="L670" s="3">
        <v>6.0499999999999998E-2</v>
      </c>
      <c r="M670" t="s">
        <v>29</v>
      </c>
      <c r="N670" t="s">
        <v>30</v>
      </c>
      <c r="O670">
        <v>0</v>
      </c>
      <c r="P670" s="1">
        <v>46022</v>
      </c>
      <c r="R670" s="7"/>
      <c r="S670" s="7"/>
    </row>
    <row r="671" spans="1:19" x14ac:dyDescent="0.3">
      <c r="A671" t="s">
        <v>719</v>
      </c>
      <c r="B671" t="s">
        <v>24</v>
      </c>
      <c r="C671" t="s">
        <v>41</v>
      </c>
      <c r="D671" s="5">
        <v>38935</v>
      </c>
      <c r="E671" s="4">
        <v>24716.38</v>
      </c>
      <c r="F671" t="s">
        <v>14</v>
      </c>
      <c r="G671">
        <v>264</v>
      </c>
      <c r="H671" s="1">
        <f t="shared" si="10"/>
        <v>51348</v>
      </c>
      <c r="I671" t="s">
        <v>15</v>
      </c>
      <c r="J671" s="1">
        <v>43297</v>
      </c>
      <c r="K671" t="s">
        <v>101</v>
      </c>
      <c r="L671" s="3">
        <v>0.14529999999999998</v>
      </c>
      <c r="M671" t="s">
        <v>17</v>
      </c>
      <c r="N671" t="s">
        <v>42</v>
      </c>
      <c r="O671">
        <v>40394.18</v>
      </c>
      <c r="P671" s="1">
        <v>46022</v>
      </c>
      <c r="R671" s="7"/>
      <c r="S671" s="7"/>
    </row>
    <row r="672" spans="1:19" x14ac:dyDescent="0.3">
      <c r="A672" t="s">
        <v>720</v>
      </c>
      <c r="B672" t="s">
        <v>24</v>
      </c>
      <c r="C672" t="s">
        <v>41</v>
      </c>
      <c r="D672" s="5">
        <v>52879</v>
      </c>
      <c r="E672">
        <v>33992.69</v>
      </c>
      <c r="F672" t="s">
        <v>14</v>
      </c>
      <c r="G672">
        <v>186</v>
      </c>
      <c r="H672" s="1">
        <f t="shared" si="10"/>
        <v>47573</v>
      </c>
      <c r="I672" t="s">
        <v>15</v>
      </c>
      <c r="J672" s="1">
        <v>41890</v>
      </c>
      <c r="K672" t="s">
        <v>22</v>
      </c>
      <c r="L672" s="3">
        <v>4.5899999999999996E-2</v>
      </c>
      <c r="M672" t="s">
        <v>17</v>
      </c>
      <c r="N672" t="s">
        <v>42</v>
      </c>
      <c r="O672">
        <v>64007.74</v>
      </c>
      <c r="P672" s="1">
        <v>46022</v>
      </c>
      <c r="R672" s="7"/>
      <c r="S672" s="7"/>
    </row>
    <row r="673" spans="1:19" x14ac:dyDescent="0.3">
      <c r="A673" t="s">
        <v>721</v>
      </c>
      <c r="B673" t="s">
        <v>24</v>
      </c>
      <c r="C673" t="s">
        <v>28</v>
      </c>
      <c r="D673" s="5">
        <v>12075</v>
      </c>
      <c r="E673">
        <v>8625.2199999999993</v>
      </c>
      <c r="F673" t="s">
        <v>14</v>
      </c>
      <c r="G673">
        <v>264</v>
      </c>
      <c r="H673" s="1">
        <f t="shared" si="10"/>
        <v>51470</v>
      </c>
      <c r="I673" t="s">
        <v>15</v>
      </c>
      <c r="J673" s="1">
        <v>43427</v>
      </c>
      <c r="K673" t="s">
        <v>16</v>
      </c>
      <c r="L673" s="3">
        <v>9.9900000000000003E-2</v>
      </c>
      <c r="M673" t="s">
        <v>29</v>
      </c>
      <c r="N673" t="s">
        <v>30</v>
      </c>
      <c r="O673">
        <v>0</v>
      </c>
      <c r="P673" s="1">
        <v>46022</v>
      </c>
      <c r="R673" s="7"/>
      <c r="S673" s="7"/>
    </row>
    <row r="674" spans="1:19" x14ac:dyDescent="0.3">
      <c r="A674" t="s">
        <v>722</v>
      </c>
      <c r="B674" t="s">
        <v>24</v>
      </c>
      <c r="C674" t="s">
        <v>41</v>
      </c>
      <c r="D674" s="5">
        <v>67643</v>
      </c>
      <c r="E674">
        <v>41791.32</v>
      </c>
      <c r="F674" t="s">
        <v>14</v>
      </c>
      <c r="G674">
        <v>282</v>
      </c>
      <c r="H674" s="1">
        <f t="shared" si="10"/>
        <v>49826</v>
      </c>
      <c r="I674" t="s">
        <v>15</v>
      </c>
      <c r="J674" s="1">
        <v>41234</v>
      </c>
      <c r="K674" t="s">
        <v>81</v>
      </c>
      <c r="L674" s="3">
        <v>2.3300000000000001E-2</v>
      </c>
      <c r="M674" t="s">
        <v>17</v>
      </c>
      <c r="N674" t="s">
        <v>42</v>
      </c>
      <c r="O674">
        <v>81040.97</v>
      </c>
      <c r="P674" s="1">
        <v>46022</v>
      </c>
      <c r="R674" s="7"/>
      <c r="S674" s="7"/>
    </row>
    <row r="675" spans="1:19" x14ac:dyDescent="0.3">
      <c r="A675" t="s">
        <v>723</v>
      </c>
      <c r="B675" t="s">
        <v>24</v>
      </c>
      <c r="C675" t="s">
        <v>32</v>
      </c>
      <c r="D675" s="5">
        <v>48970</v>
      </c>
      <c r="E675">
        <v>23807.1</v>
      </c>
      <c r="F675" t="s">
        <v>33</v>
      </c>
      <c r="G675">
        <v>12</v>
      </c>
      <c r="H675" s="1">
        <f t="shared" si="10"/>
        <v>45351</v>
      </c>
      <c r="I675" t="s">
        <v>70</v>
      </c>
      <c r="J675" s="1">
        <v>44968</v>
      </c>
      <c r="K675" t="s">
        <v>39</v>
      </c>
      <c r="L675" s="3">
        <v>6.5700000000000008E-2</v>
      </c>
      <c r="M675" t="s">
        <v>29</v>
      </c>
      <c r="N675" t="s">
        <v>30</v>
      </c>
      <c r="O675">
        <v>0</v>
      </c>
      <c r="P675" s="1">
        <v>46022</v>
      </c>
      <c r="R675" s="7"/>
      <c r="S675" s="7"/>
    </row>
    <row r="676" spans="1:19" x14ac:dyDescent="0.3">
      <c r="A676" t="s">
        <v>724</v>
      </c>
      <c r="B676" t="s">
        <v>24</v>
      </c>
      <c r="C676" t="s">
        <v>25</v>
      </c>
      <c r="D676" s="5">
        <v>643144</v>
      </c>
      <c r="E676">
        <v>224026.55</v>
      </c>
      <c r="F676" t="s">
        <v>14</v>
      </c>
      <c r="G676">
        <v>192</v>
      </c>
      <c r="H676" s="1">
        <f t="shared" si="10"/>
        <v>46234</v>
      </c>
      <c r="I676" t="s">
        <v>15</v>
      </c>
      <c r="J676" s="1">
        <v>40367</v>
      </c>
      <c r="K676" t="s">
        <v>16</v>
      </c>
      <c r="L676" s="3">
        <v>0.106</v>
      </c>
      <c r="M676" t="s">
        <v>17</v>
      </c>
      <c r="N676" t="s">
        <v>26</v>
      </c>
      <c r="O676">
        <v>856233.3</v>
      </c>
      <c r="P676" s="1">
        <v>46022</v>
      </c>
      <c r="R676" s="7"/>
      <c r="S676" s="7"/>
    </row>
    <row r="677" spans="1:19" x14ac:dyDescent="0.3">
      <c r="A677" t="s">
        <v>725</v>
      </c>
      <c r="B677" t="s">
        <v>24</v>
      </c>
      <c r="C677" t="s">
        <v>25</v>
      </c>
      <c r="D677" s="5">
        <v>422033</v>
      </c>
      <c r="E677">
        <v>334133.06</v>
      </c>
      <c r="F677" t="s">
        <v>14</v>
      </c>
      <c r="G677">
        <v>108</v>
      </c>
      <c r="H677" s="1">
        <f t="shared" si="10"/>
        <v>47573</v>
      </c>
      <c r="I677" t="s">
        <v>15</v>
      </c>
      <c r="J677" s="1">
        <v>44284</v>
      </c>
      <c r="K677" t="s">
        <v>35</v>
      </c>
      <c r="L677" s="3">
        <v>5.0300000000000004E-2</v>
      </c>
      <c r="M677" t="s">
        <v>17</v>
      </c>
      <c r="N677" t="s">
        <v>26</v>
      </c>
      <c r="O677">
        <v>554377.5</v>
      </c>
      <c r="P677" s="1">
        <v>46022</v>
      </c>
      <c r="R677" s="7"/>
      <c r="S677" s="7"/>
    </row>
    <row r="678" spans="1:19" x14ac:dyDescent="0.3">
      <c r="A678" t="s">
        <v>726</v>
      </c>
      <c r="B678" t="s">
        <v>24</v>
      </c>
      <c r="C678" t="s">
        <v>25</v>
      </c>
      <c r="D678" s="5">
        <v>683036</v>
      </c>
      <c r="E678">
        <v>207400.5</v>
      </c>
      <c r="F678" t="s">
        <v>14</v>
      </c>
      <c r="G678">
        <v>78</v>
      </c>
      <c r="H678" s="1">
        <f t="shared" si="10"/>
        <v>46022</v>
      </c>
      <c r="I678" t="s">
        <v>15</v>
      </c>
      <c r="J678" s="1">
        <v>43628</v>
      </c>
      <c r="K678" t="s">
        <v>56</v>
      </c>
      <c r="L678" s="3">
        <v>0.03</v>
      </c>
      <c r="M678" t="s">
        <v>17</v>
      </c>
      <c r="N678" t="s">
        <v>26</v>
      </c>
      <c r="O678">
        <v>907923.4</v>
      </c>
      <c r="P678" s="1">
        <v>46022</v>
      </c>
      <c r="R678" s="7"/>
      <c r="S678" s="7"/>
    </row>
    <row r="679" spans="1:19" x14ac:dyDescent="0.3">
      <c r="A679" t="s">
        <v>727</v>
      </c>
      <c r="B679" t="s">
        <v>24</v>
      </c>
      <c r="C679" t="s">
        <v>25</v>
      </c>
      <c r="D679" s="5">
        <v>210629</v>
      </c>
      <c r="E679">
        <v>152309.51999999999</v>
      </c>
      <c r="F679" t="s">
        <v>14</v>
      </c>
      <c r="G679">
        <v>276</v>
      </c>
      <c r="H679" s="1">
        <f t="shared" si="10"/>
        <v>49217</v>
      </c>
      <c r="I679" t="s">
        <v>15</v>
      </c>
      <c r="J679" s="1">
        <v>40791</v>
      </c>
      <c r="K679" t="s">
        <v>22</v>
      </c>
      <c r="L679" s="3">
        <v>5.9900000000000002E-2</v>
      </c>
      <c r="M679" t="s">
        <v>17</v>
      </c>
      <c r="N679" t="s">
        <v>26</v>
      </c>
      <c r="O679">
        <v>258583.72</v>
      </c>
      <c r="P679" s="1">
        <v>46022</v>
      </c>
      <c r="R679" s="7"/>
      <c r="S679" s="7"/>
    </row>
    <row r="680" spans="1:19" x14ac:dyDescent="0.3">
      <c r="A680" t="s">
        <v>728</v>
      </c>
      <c r="B680" t="s">
        <v>24</v>
      </c>
      <c r="C680" t="s">
        <v>28</v>
      </c>
      <c r="D680" s="5">
        <v>44544</v>
      </c>
      <c r="E680">
        <v>13808.71</v>
      </c>
      <c r="F680" t="s">
        <v>14</v>
      </c>
      <c r="G680">
        <v>60</v>
      </c>
      <c r="H680" s="1">
        <f t="shared" si="10"/>
        <v>47149</v>
      </c>
      <c r="I680" t="s">
        <v>15</v>
      </c>
      <c r="J680" s="1">
        <v>45311</v>
      </c>
      <c r="K680" t="s">
        <v>16</v>
      </c>
      <c r="L680" s="3">
        <v>9.3800000000000008E-2</v>
      </c>
      <c r="M680" t="s">
        <v>29</v>
      </c>
      <c r="N680" t="s">
        <v>30</v>
      </c>
      <c r="O680">
        <v>0</v>
      </c>
      <c r="P680" s="1">
        <v>46022</v>
      </c>
      <c r="R680" s="7"/>
      <c r="S680" s="7"/>
    </row>
    <row r="681" spans="1:19" x14ac:dyDescent="0.3">
      <c r="A681" t="s">
        <v>729</v>
      </c>
      <c r="B681" t="s">
        <v>24</v>
      </c>
      <c r="C681" t="s">
        <v>25</v>
      </c>
      <c r="D681" s="5">
        <v>552776</v>
      </c>
      <c r="E681">
        <v>366378.07</v>
      </c>
      <c r="F681" t="s">
        <v>14</v>
      </c>
      <c r="G681">
        <v>348</v>
      </c>
      <c r="H681" s="1">
        <f t="shared" si="10"/>
        <v>52017</v>
      </c>
      <c r="I681" t="s">
        <v>15</v>
      </c>
      <c r="J681" s="1">
        <v>41410</v>
      </c>
      <c r="K681" t="s">
        <v>22</v>
      </c>
      <c r="L681" s="3">
        <v>5.04E-2</v>
      </c>
      <c r="M681" t="s">
        <v>17</v>
      </c>
      <c r="N681" t="s">
        <v>26</v>
      </c>
      <c r="O681">
        <v>773607.45</v>
      </c>
      <c r="P681" s="1">
        <v>46022</v>
      </c>
      <c r="R681" s="7"/>
      <c r="S681" s="7"/>
    </row>
    <row r="682" spans="1:19" x14ac:dyDescent="0.3">
      <c r="A682" t="s">
        <v>730</v>
      </c>
      <c r="B682" t="s">
        <v>24</v>
      </c>
      <c r="C682" t="s">
        <v>25</v>
      </c>
      <c r="D682" s="5">
        <v>504415</v>
      </c>
      <c r="E682">
        <v>389595.06</v>
      </c>
      <c r="F682" t="s">
        <v>14</v>
      </c>
      <c r="G682">
        <v>252</v>
      </c>
      <c r="H682" s="1">
        <f t="shared" si="10"/>
        <v>53052</v>
      </c>
      <c r="I682" t="s">
        <v>15</v>
      </c>
      <c r="J682" s="1">
        <v>45373</v>
      </c>
      <c r="K682" t="s">
        <v>22</v>
      </c>
      <c r="L682" s="3">
        <v>6.9800000000000001E-2</v>
      </c>
      <c r="M682" t="s">
        <v>17</v>
      </c>
      <c r="N682" t="s">
        <v>26</v>
      </c>
      <c r="O682">
        <v>670156.05000000005</v>
      </c>
      <c r="P682" s="1">
        <v>46022</v>
      </c>
      <c r="R682" s="7"/>
      <c r="S682" s="7"/>
    </row>
    <row r="683" spans="1:19" x14ac:dyDescent="0.3">
      <c r="A683" t="s">
        <v>731</v>
      </c>
      <c r="B683" t="s">
        <v>24</v>
      </c>
      <c r="C683" t="s">
        <v>25</v>
      </c>
      <c r="D683" s="5">
        <v>627278</v>
      </c>
      <c r="E683">
        <v>186202.86</v>
      </c>
      <c r="F683" t="s">
        <v>14</v>
      </c>
      <c r="G683">
        <v>264</v>
      </c>
      <c r="H683" s="1">
        <f t="shared" si="10"/>
        <v>53508</v>
      </c>
      <c r="I683" t="s">
        <v>15</v>
      </c>
      <c r="J683" s="1">
        <v>45464</v>
      </c>
      <c r="K683" t="s">
        <v>35</v>
      </c>
      <c r="L683" s="3">
        <v>5.62E-2</v>
      </c>
      <c r="M683" t="s">
        <v>17</v>
      </c>
      <c r="N683" t="s">
        <v>26</v>
      </c>
      <c r="O683">
        <v>759797.66</v>
      </c>
      <c r="P683" s="1">
        <v>46022</v>
      </c>
      <c r="R683" s="7"/>
      <c r="S683" s="7"/>
    </row>
    <row r="684" spans="1:19" x14ac:dyDescent="0.3">
      <c r="A684" t="s">
        <v>732</v>
      </c>
      <c r="B684" t="s">
        <v>24</v>
      </c>
      <c r="C684" t="s">
        <v>25</v>
      </c>
      <c r="D684" s="5">
        <v>662305</v>
      </c>
      <c r="E684">
        <v>101961.25</v>
      </c>
      <c r="F684" t="s">
        <v>14</v>
      </c>
      <c r="G684">
        <v>60</v>
      </c>
      <c r="H684" s="1">
        <f t="shared" si="10"/>
        <v>46538</v>
      </c>
      <c r="I684" t="s">
        <v>15</v>
      </c>
      <c r="J684" s="1">
        <v>44701</v>
      </c>
      <c r="K684" t="s">
        <v>81</v>
      </c>
      <c r="L684" s="3">
        <v>3.8300000000000001E-2</v>
      </c>
      <c r="M684" t="s">
        <v>17</v>
      </c>
      <c r="N684" t="s">
        <v>26</v>
      </c>
      <c r="O684">
        <v>932798.92</v>
      </c>
      <c r="P684" s="1">
        <v>46022</v>
      </c>
      <c r="R684" s="7"/>
      <c r="S684" s="7"/>
    </row>
    <row r="685" spans="1:19" x14ac:dyDescent="0.3">
      <c r="A685" t="s">
        <v>733</v>
      </c>
      <c r="B685" t="s">
        <v>20</v>
      </c>
      <c r="C685" t="s">
        <v>47</v>
      </c>
      <c r="D685" s="5">
        <v>405290</v>
      </c>
      <c r="E685">
        <v>88303.17</v>
      </c>
      <c r="F685" t="s">
        <v>48</v>
      </c>
      <c r="G685">
        <v>336</v>
      </c>
      <c r="H685" s="1">
        <f t="shared" si="10"/>
        <v>54878</v>
      </c>
      <c r="I685" t="s">
        <v>15</v>
      </c>
      <c r="J685" s="1">
        <v>44637</v>
      </c>
      <c r="K685" t="s">
        <v>39</v>
      </c>
      <c r="L685" s="3">
        <v>7.3499999999999996E-2</v>
      </c>
      <c r="M685" t="s">
        <v>17</v>
      </c>
      <c r="N685" t="s">
        <v>54</v>
      </c>
      <c r="O685">
        <v>554994.91</v>
      </c>
      <c r="P685" s="1">
        <v>46022</v>
      </c>
      <c r="R685" s="7"/>
      <c r="S685" s="7"/>
    </row>
    <row r="686" spans="1:19" x14ac:dyDescent="0.3">
      <c r="A686" t="s">
        <v>734</v>
      </c>
      <c r="B686" t="s">
        <v>24</v>
      </c>
      <c r="C686" t="s">
        <v>25</v>
      </c>
      <c r="D686" s="5">
        <v>714356</v>
      </c>
      <c r="E686">
        <v>461043.09</v>
      </c>
      <c r="F686" t="s">
        <v>14</v>
      </c>
      <c r="G686">
        <v>258</v>
      </c>
      <c r="H686" s="1">
        <f t="shared" si="10"/>
        <v>52170</v>
      </c>
      <c r="I686" t="s">
        <v>15</v>
      </c>
      <c r="J686" s="1">
        <v>44293</v>
      </c>
      <c r="K686" t="s">
        <v>56</v>
      </c>
      <c r="L686" s="3">
        <v>2.63E-2</v>
      </c>
      <c r="M686" t="s">
        <v>17</v>
      </c>
      <c r="N686" t="s">
        <v>26</v>
      </c>
      <c r="O686">
        <v>1006720.53</v>
      </c>
      <c r="P686" s="1">
        <v>46022</v>
      </c>
      <c r="R686" s="7"/>
      <c r="S686" s="7"/>
    </row>
    <row r="687" spans="1:19" x14ac:dyDescent="0.3">
      <c r="A687" t="s">
        <v>735</v>
      </c>
      <c r="B687" t="s">
        <v>24</v>
      </c>
      <c r="C687" t="s">
        <v>32</v>
      </c>
      <c r="D687" s="5">
        <v>12855</v>
      </c>
      <c r="E687">
        <v>11112.87</v>
      </c>
      <c r="F687" t="s">
        <v>33</v>
      </c>
      <c r="G687">
        <v>150</v>
      </c>
      <c r="H687" s="1">
        <f t="shared" si="10"/>
        <v>47726</v>
      </c>
      <c r="I687" t="s">
        <v>15</v>
      </c>
      <c r="J687" s="1">
        <v>43150</v>
      </c>
      <c r="K687" t="s">
        <v>39</v>
      </c>
      <c r="L687" s="3">
        <v>7.2700000000000001E-2</v>
      </c>
      <c r="M687" t="s">
        <v>29</v>
      </c>
      <c r="N687" t="s">
        <v>30</v>
      </c>
      <c r="O687">
        <v>0</v>
      </c>
      <c r="P687" s="1">
        <v>46022</v>
      </c>
      <c r="R687" s="7"/>
      <c r="S687" s="7"/>
    </row>
    <row r="688" spans="1:19" x14ac:dyDescent="0.3">
      <c r="A688" t="s">
        <v>736</v>
      </c>
      <c r="B688" t="s">
        <v>12</v>
      </c>
      <c r="C688" t="s">
        <v>61</v>
      </c>
      <c r="D688" s="5">
        <v>35983679</v>
      </c>
      <c r="E688">
        <v>5055603.95</v>
      </c>
      <c r="F688" t="s">
        <v>48</v>
      </c>
      <c r="G688">
        <v>204</v>
      </c>
      <c r="H688" s="1">
        <f t="shared" si="10"/>
        <v>51774</v>
      </c>
      <c r="I688" t="s">
        <v>15</v>
      </c>
      <c r="J688" s="1">
        <v>45554</v>
      </c>
      <c r="K688" t="s">
        <v>16</v>
      </c>
      <c r="L688" s="3">
        <v>0.11019999999999999</v>
      </c>
      <c r="M688" t="s">
        <v>29</v>
      </c>
      <c r="N688" t="s">
        <v>30</v>
      </c>
      <c r="O688">
        <v>0</v>
      </c>
      <c r="P688" s="1">
        <v>46022</v>
      </c>
      <c r="R688" s="7"/>
      <c r="S688" s="7"/>
    </row>
    <row r="689" spans="1:19" x14ac:dyDescent="0.3">
      <c r="A689" t="s">
        <v>737</v>
      </c>
      <c r="B689" t="s">
        <v>24</v>
      </c>
      <c r="C689" t="s">
        <v>41</v>
      </c>
      <c r="D689" s="5">
        <v>84028</v>
      </c>
      <c r="E689">
        <v>63923.23</v>
      </c>
      <c r="F689" t="s">
        <v>14</v>
      </c>
      <c r="G689">
        <v>222</v>
      </c>
      <c r="H689" s="1">
        <f t="shared" si="10"/>
        <v>50099</v>
      </c>
      <c r="I689" t="s">
        <v>15</v>
      </c>
      <c r="J689" s="1">
        <v>43326</v>
      </c>
      <c r="K689" t="s">
        <v>35</v>
      </c>
      <c r="L689" s="3">
        <v>0.04</v>
      </c>
      <c r="M689" t="s">
        <v>17</v>
      </c>
      <c r="N689" t="s">
        <v>42</v>
      </c>
      <c r="O689">
        <v>97685.49</v>
      </c>
      <c r="P689" s="1">
        <v>46022</v>
      </c>
      <c r="R689" s="7"/>
      <c r="S689" s="7"/>
    </row>
    <row r="690" spans="1:19" x14ac:dyDescent="0.3">
      <c r="A690" t="s">
        <v>738</v>
      </c>
      <c r="B690" t="s">
        <v>24</v>
      </c>
      <c r="C690" t="s">
        <v>25</v>
      </c>
      <c r="D690" s="5">
        <v>823563</v>
      </c>
      <c r="E690">
        <v>335343.83</v>
      </c>
      <c r="F690" t="s">
        <v>14</v>
      </c>
      <c r="G690">
        <v>180</v>
      </c>
      <c r="H690" s="1">
        <f t="shared" si="10"/>
        <v>49795</v>
      </c>
      <c r="I690" t="s">
        <v>15</v>
      </c>
      <c r="J690" s="1">
        <v>44309</v>
      </c>
      <c r="K690" t="s">
        <v>39</v>
      </c>
      <c r="L690" s="3">
        <v>5.9000000000000004E-2</v>
      </c>
      <c r="M690" t="s">
        <v>17</v>
      </c>
      <c r="N690" t="s">
        <v>26</v>
      </c>
      <c r="O690">
        <v>1054623.3600000001</v>
      </c>
      <c r="P690" s="1">
        <v>46022</v>
      </c>
      <c r="R690" s="7"/>
      <c r="S690" s="7"/>
    </row>
    <row r="691" spans="1:19" x14ac:dyDescent="0.3">
      <c r="A691" t="s">
        <v>739</v>
      </c>
      <c r="B691" t="s">
        <v>12</v>
      </c>
      <c r="C691" t="s">
        <v>13</v>
      </c>
      <c r="D691" s="5">
        <v>28072547</v>
      </c>
      <c r="E691">
        <v>14897414.050000001</v>
      </c>
      <c r="F691" t="s">
        <v>14</v>
      </c>
      <c r="G691">
        <v>60</v>
      </c>
      <c r="H691" s="1">
        <f t="shared" si="10"/>
        <v>46752</v>
      </c>
      <c r="I691" t="s">
        <v>15</v>
      </c>
      <c r="J691" s="1">
        <v>44918</v>
      </c>
      <c r="K691" t="s">
        <v>56</v>
      </c>
      <c r="L691" s="3">
        <v>4.3899999999999995E-2</v>
      </c>
      <c r="M691" t="s">
        <v>17</v>
      </c>
      <c r="N691" t="s">
        <v>54</v>
      </c>
      <c r="O691">
        <v>36689980.409999996</v>
      </c>
      <c r="P691" s="1">
        <v>46022</v>
      </c>
      <c r="R691" s="7"/>
      <c r="S691" s="7"/>
    </row>
    <row r="692" spans="1:19" x14ac:dyDescent="0.3">
      <c r="A692" t="s">
        <v>740</v>
      </c>
      <c r="B692" t="s">
        <v>12</v>
      </c>
      <c r="C692" t="s">
        <v>13</v>
      </c>
      <c r="D692" s="5">
        <v>26488325</v>
      </c>
      <c r="E692">
        <v>24792372.510000002</v>
      </c>
      <c r="F692" t="s">
        <v>48</v>
      </c>
      <c r="G692">
        <v>60</v>
      </c>
      <c r="H692" s="1">
        <f t="shared" si="10"/>
        <v>45930</v>
      </c>
      <c r="I692" t="s">
        <v>15</v>
      </c>
      <c r="J692" s="1">
        <v>44099</v>
      </c>
      <c r="K692" t="s">
        <v>39</v>
      </c>
      <c r="L692" s="3">
        <v>6.6299999999999998E-2</v>
      </c>
      <c r="M692" t="s">
        <v>29</v>
      </c>
      <c r="N692" t="s">
        <v>30</v>
      </c>
      <c r="O692">
        <v>0</v>
      </c>
      <c r="P692" s="1">
        <v>46022</v>
      </c>
      <c r="R692" s="7"/>
      <c r="S692" s="7"/>
    </row>
    <row r="693" spans="1:19" x14ac:dyDescent="0.3">
      <c r="A693" t="s">
        <v>741</v>
      </c>
      <c r="B693" t="s">
        <v>24</v>
      </c>
      <c r="C693" t="s">
        <v>28</v>
      </c>
      <c r="D693" s="5">
        <v>8001</v>
      </c>
      <c r="E693">
        <v>3190.56</v>
      </c>
      <c r="F693" t="s">
        <v>48</v>
      </c>
      <c r="G693">
        <v>324</v>
      </c>
      <c r="H693" s="1">
        <f t="shared" si="10"/>
        <v>54757</v>
      </c>
      <c r="I693" t="s">
        <v>15</v>
      </c>
      <c r="J693" s="1">
        <v>44873</v>
      </c>
      <c r="K693" t="s">
        <v>35</v>
      </c>
      <c r="L693" s="3">
        <v>4.5999999999999999E-2</v>
      </c>
      <c r="M693" t="s">
        <v>29</v>
      </c>
      <c r="N693" t="s">
        <v>30</v>
      </c>
      <c r="O693">
        <v>0</v>
      </c>
      <c r="P693" s="1">
        <v>46022</v>
      </c>
      <c r="R693" s="7"/>
      <c r="S693" s="7"/>
    </row>
    <row r="694" spans="1:19" x14ac:dyDescent="0.3">
      <c r="A694" t="s">
        <v>742</v>
      </c>
      <c r="B694" t="s">
        <v>24</v>
      </c>
      <c r="C694" t="s">
        <v>41</v>
      </c>
      <c r="D694" s="5">
        <v>79781</v>
      </c>
      <c r="E694">
        <v>41390.720000000001</v>
      </c>
      <c r="F694" t="s">
        <v>14</v>
      </c>
      <c r="G694">
        <v>330</v>
      </c>
      <c r="H694" s="1">
        <f t="shared" si="10"/>
        <v>51287</v>
      </c>
      <c r="I694" t="s">
        <v>15</v>
      </c>
      <c r="J694" s="1">
        <v>41220</v>
      </c>
      <c r="K694" t="s">
        <v>39</v>
      </c>
      <c r="L694" s="3">
        <v>6.5000000000000002E-2</v>
      </c>
      <c r="M694" t="s">
        <v>17</v>
      </c>
      <c r="N694" t="s">
        <v>42</v>
      </c>
      <c r="O694">
        <v>82534.34</v>
      </c>
      <c r="P694" s="1">
        <v>46022</v>
      </c>
      <c r="R694" s="7"/>
      <c r="S694" s="7"/>
    </row>
    <row r="695" spans="1:19" x14ac:dyDescent="0.3">
      <c r="A695" t="s">
        <v>743</v>
      </c>
      <c r="B695" t="s">
        <v>12</v>
      </c>
      <c r="C695" t="s">
        <v>63</v>
      </c>
      <c r="D695" s="5">
        <v>14299060</v>
      </c>
      <c r="E695">
        <v>1605987.06</v>
      </c>
      <c r="F695" t="s">
        <v>33</v>
      </c>
      <c r="G695">
        <v>60</v>
      </c>
      <c r="H695" s="1">
        <f t="shared" si="10"/>
        <v>45808</v>
      </c>
      <c r="I695" t="s">
        <v>15</v>
      </c>
      <c r="J695" s="1">
        <v>43967</v>
      </c>
      <c r="K695" t="s">
        <v>22</v>
      </c>
      <c r="L695" s="3">
        <v>5.2000000000000005E-2</v>
      </c>
      <c r="M695" t="s">
        <v>17</v>
      </c>
      <c r="N695" t="s">
        <v>54</v>
      </c>
      <c r="O695">
        <v>19793551.289999999</v>
      </c>
      <c r="P695" s="1">
        <v>46022</v>
      </c>
      <c r="R695" s="7"/>
      <c r="S695" s="7"/>
    </row>
    <row r="696" spans="1:19" x14ac:dyDescent="0.3">
      <c r="A696" t="s">
        <v>744</v>
      </c>
      <c r="B696" t="s">
        <v>24</v>
      </c>
      <c r="C696" t="s">
        <v>41</v>
      </c>
      <c r="D696" s="5">
        <v>54703</v>
      </c>
      <c r="E696">
        <v>9487.5499999999993</v>
      </c>
      <c r="F696" t="s">
        <v>14</v>
      </c>
      <c r="G696">
        <v>78</v>
      </c>
      <c r="H696" s="1">
        <f t="shared" si="10"/>
        <v>47177</v>
      </c>
      <c r="I696" t="s">
        <v>15</v>
      </c>
      <c r="J696" s="1">
        <v>44798</v>
      </c>
      <c r="K696" t="s">
        <v>22</v>
      </c>
      <c r="L696" s="3">
        <v>5.3899999999999997E-2</v>
      </c>
      <c r="M696" t="s">
        <v>17</v>
      </c>
      <c r="N696" t="s">
        <v>42</v>
      </c>
      <c r="O696">
        <v>65813.149999999994</v>
      </c>
      <c r="P696" s="1">
        <v>46022</v>
      </c>
      <c r="R696" s="7"/>
      <c r="S696" s="7"/>
    </row>
    <row r="697" spans="1:19" x14ac:dyDescent="0.3">
      <c r="A697" t="s">
        <v>745</v>
      </c>
      <c r="B697" t="s">
        <v>24</v>
      </c>
      <c r="C697" t="s">
        <v>41</v>
      </c>
      <c r="D697" s="5">
        <v>35585</v>
      </c>
      <c r="E697">
        <v>11840.17</v>
      </c>
      <c r="F697" t="s">
        <v>14</v>
      </c>
      <c r="G697">
        <v>60</v>
      </c>
      <c r="H697" s="1">
        <f t="shared" si="10"/>
        <v>45747</v>
      </c>
      <c r="I697" t="s">
        <v>15</v>
      </c>
      <c r="J697" s="1">
        <v>43902</v>
      </c>
      <c r="K697" t="s">
        <v>22</v>
      </c>
      <c r="L697" s="3">
        <v>5.0099999999999999E-2</v>
      </c>
      <c r="M697" t="s">
        <v>17</v>
      </c>
      <c r="N697" t="s">
        <v>42</v>
      </c>
      <c r="O697">
        <v>37677.68</v>
      </c>
      <c r="P697" s="1">
        <v>46022</v>
      </c>
      <c r="R697" s="7"/>
      <c r="S697" s="7"/>
    </row>
    <row r="698" spans="1:19" x14ac:dyDescent="0.3">
      <c r="A698" t="s">
        <v>746</v>
      </c>
      <c r="B698" t="s">
        <v>12</v>
      </c>
      <c r="C698" t="s">
        <v>13</v>
      </c>
      <c r="D698" s="5">
        <v>7557590</v>
      </c>
      <c r="E698">
        <v>945205.21</v>
      </c>
      <c r="F698" t="s">
        <v>14</v>
      </c>
      <c r="G698">
        <v>156</v>
      </c>
      <c r="H698" s="1">
        <f t="shared" si="10"/>
        <v>45382</v>
      </c>
      <c r="I698" t="s">
        <v>15</v>
      </c>
      <c r="J698" s="1">
        <v>40604</v>
      </c>
      <c r="K698" t="s">
        <v>35</v>
      </c>
      <c r="L698" s="3">
        <v>4.5899999999999996E-2</v>
      </c>
      <c r="M698" t="s">
        <v>17</v>
      </c>
      <c r="N698" t="s">
        <v>42</v>
      </c>
      <c r="O698">
        <v>11231120.949999999</v>
      </c>
      <c r="P698" s="1">
        <v>46022</v>
      </c>
      <c r="R698" s="7"/>
      <c r="S698" s="7"/>
    </row>
    <row r="699" spans="1:19" x14ac:dyDescent="0.3">
      <c r="A699" t="s">
        <v>747</v>
      </c>
      <c r="B699" t="s">
        <v>12</v>
      </c>
      <c r="C699" t="s">
        <v>26</v>
      </c>
      <c r="D699" s="5">
        <v>31848327</v>
      </c>
      <c r="E699">
        <v>21282255.859999999</v>
      </c>
      <c r="F699" t="s">
        <v>48</v>
      </c>
      <c r="G699">
        <v>342</v>
      </c>
      <c r="H699" s="1">
        <f t="shared" si="10"/>
        <v>54270</v>
      </c>
      <c r="I699" t="s">
        <v>15</v>
      </c>
      <c r="J699" s="1">
        <v>43854</v>
      </c>
      <c r="K699" t="s">
        <v>39</v>
      </c>
      <c r="L699" s="3">
        <v>5.2499999999999998E-2</v>
      </c>
      <c r="M699" t="s">
        <v>29</v>
      </c>
      <c r="N699" t="s">
        <v>30</v>
      </c>
      <c r="O699">
        <v>0</v>
      </c>
      <c r="P699" s="1">
        <v>46022</v>
      </c>
      <c r="R699" s="7"/>
      <c r="S699" s="7"/>
    </row>
    <row r="700" spans="1:19" x14ac:dyDescent="0.3">
      <c r="A700" t="s">
        <v>748</v>
      </c>
      <c r="B700" t="s">
        <v>20</v>
      </c>
      <c r="C700" t="s">
        <v>51</v>
      </c>
      <c r="D700" s="5">
        <v>318944</v>
      </c>
      <c r="E700">
        <v>154291.67000000001</v>
      </c>
      <c r="F700" t="s">
        <v>48</v>
      </c>
      <c r="G700">
        <v>144</v>
      </c>
      <c r="H700" s="1">
        <f t="shared" si="10"/>
        <v>47361</v>
      </c>
      <c r="I700" t="s">
        <v>15</v>
      </c>
      <c r="J700" s="1">
        <v>42977</v>
      </c>
      <c r="K700" t="s">
        <v>22</v>
      </c>
      <c r="L700" s="3">
        <v>4.4999999999999998E-2</v>
      </c>
      <c r="M700" t="s">
        <v>17</v>
      </c>
      <c r="N700" t="s">
        <v>42</v>
      </c>
      <c r="O700">
        <v>405875.03</v>
      </c>
      <c r="P700" s="1">
        <v>46022</v>
      </c>
      <c r="R700" s="7"/>
      <c r="S700" s="7"/>
    </row>
    <row r="701" spans="1:19" x14ac:dyDescent="0.3">
      <c r="A701" t="s">
        <v>749</v>
      </c>
      <c r="B701" t="s">
        <v>37</v>
      </c>
      <c r="C701" t="s">
        <v>38</v>
      </c>
      <c r="D701" s="5">
        <v>376836165</v>
      </c>
      <c r="E701">
        <v>223588458.80000001</v>
      </c>
      <c r="F701" t="s">
        <v>14</v>
      </c>
      <c r="G701">
        <v>318</v>
      </c>
      <c r="H701" s="1">
        <f t="shared" si="10"/>
        <v>53782</v>
      </c>
      <c r="I701" t="s">
        <v>15</v>
      </c>
      <c r="J701" s="1">
        <v>44090</v>
      </c>
      <c r="K701" t="s">
        <v>39</v>
      </c>
      <c r="L701" s="3">
        <v>5.1100000000000007E-2</v>
      </c>
      <c r="M701" t="s">
        <v>17</v>
      </c>
      <c r="N701" t="s">
        <v>26</v>
      </c>
      <c r="O701">
        <v>740387864.70000005</v>
      </c>
      <c r="P701" s="1">
        <v>46022</v>
      </c>
      <c r="R701" s="7"/>
      <c r="S701" s="7"/>
    </row>
    <row r="702" spans="1:19" x14ac:dyDescent="0.3">
      <c r="A702" t="s">
        <v>750</v>
      </c>
      <c r="B702" t="s">
        <v>24</v>
      </c>
      <c r="C702" t="s">
        <v>25</v>
      </c>
      <c r="D702" s="5">
        <v>385828</v>
      </c>
      <c r="E702">
        <v>99228.23</v>
      </c>
      <c r="F702" t="s">
        <v>14</v>
      </c>
      <c r="G702">
        <v>60</v>
      </c>
      <c r="H702" s="1">
        <f t="shared" si="10"/>
        <v>46022</v>
      </c>
      <c r="I702" t="s">
        <v>15</v>
      </c>
      <c r="J702" s="1">
        <v>44180</v>
      </c>
      <c r="K702" t="s">
        <v>35</v>
      </c>
      <c r="L702" s="3">
        <v>1.84E-2</v>
      </c>
      <c r="M702" t="s">
        <v>17</v>
      </c>
      <c r="N702" t="s">
        <v>26</v>
      </c>
      <c r="O702">
        <v>460024.49</v>
      </c>
      <c r="P702" s="1">
        <v>46022</v>
      </c>
      <c r="R702" s="7"/>
      <c r="S702" s="7"/>
    </row>
    <row r="703" spans="1:19" x14ac:dyDescent="0.3">
      <c r="A703" t="s">
        <v>751</v>
      </c>
      <c r="B703" t="s">
        <v>24</v>
      </c>
      <c r="C703" t="s">
        <v>32</v>
      </c>
      <c r="D703" s="5">
        <v>1007</v>
      </c>
      <c r="E703">
        <v>368.76</v>
      </c>
      <c r="F703" t="s">
        <v>33</v>
      </c>
      <c r="G703">
        <v>258</v>
      </c>
      <c r="H703" s="1">
        <f t="shared" si="10"/>
        <v>51317</v>
      </c>
      <c r="I703" t="s">
        <v>15</v>
      </c>
      <c r="J703" s="1">
        <v>43454</v>
      </c>
      <c r="K703" t="s">
        <v>39</v>
      </c>
      <c r="L703" s="3">
        <v>7.5300000000000006E-2</v>
      </c>
      <c r="M703" t="s">
        <v>29</v>
      </c>
      <c r="N703" t="s">
        <v>30</v>
      </c>
      <c r="O703">
        <v>0</v>
      </c>
      <c r="P703" s="1">
        <v>46022</v>
      </c>
      <c r="R703" s="7"/>
      <c r="S703" s="7"/>
    </row>
    <row r="704" spans="1:19" x14ac:dyDescent="0.3">
      <c r="A704" t="s">
        <v>752</v>
      </c>
      <c r="B704" t="s">
        <v>24</v>
      </c>
      <c r="C704" t="s">
        <v>25</v>
      </c>
      <c r="D704" s="5">
        <v>560016</v>
      </c>
      <c r="E704">
        <v>390578.85</v>
      </c>
      <c r="F704" t="s">
        <v>14</v>
      </c>
      <c r="G704">
        <v>360</v>
      </c>
      <c r="H704" s="1">
        <f t="shared" si="10"/>
        <v>55731</v>
      </c>
      <c r="I704" t="s">
        <v>15</v>
      </c>
      <c r="J704" s="1">
        <v>44767</v>
      </c>
      <c r="K704" t="s">
        <v>35</v>
      </c>
      <c r="L704" s="3">
        <v>4.1500000000000002E-2</v>
      </c>
      <c r="M704" t="s">
        <v>17</v>
      </c>
      <c r="N704" t="s">
        <v>26</v>
      </c>
      <c r="O704">
        <v>676531.52</v>
      </c>
      <c r="P704" s="1">
        <v>46022</v>
      </c>
      <c r="R704" s="7"/>
      <c r="S704" s="7"/>
    </row>
    <row r="705" spans="1:19" x14ac:dyDescent="0.3">
      <c r="A705" t="s">
        <v>753</v>
      </c>
      <c r="B705" t="s">
        <v>24</v>
      </c>
      <c r="C705" t="s">
        <v>28</v>
      </c>
      <c r="D705" s="5">
        <v>3296</v>
      </c>
      <c r="E705">
        <v>3192.82</v>
      </c>
      <c r="F705" t="s">
        <v>33</v>
      </c>
      <c r="G705">
        <v>348</v>
      </c>
      <c r="H705" s="1">
        <f t="shared" si="10"/>
        <v>55122</v>
      </c>
      <c r="I705" t="s">
        <v>15</v>
      </c>
      <c r="J705" s="1">
        <v>44505</v>
      </c>
      <c r="K705" t="s">
        <v>22</v>
      </c>
      <c r="L705" s="3">
        <v>3.7000000000000005E-2</v>
      </c>
      <c r="M705" t="s">
        <v>29</v>
      </c>
      <c r="N705" t="s">
        <v>30</v>
      </c>
      <c r="O705">
        <v>0</v>
      </c>
      <c r="P705" s="1">
        <v>46022</v>
      </c>
      <c r="R705" s="7"/>
      <c r="S705" s="7"/>
    </row>
    <row r="706" spans="1:19" x14ac:dyDescent="0.3">
      <c r="A706" t="s">
        <v>754</v>
      </c>
      <c r="B706" t="s">
        <v>24</v>
      </c>
      <c r="C706" t="s">
        <v>41</v>
      </c>
      <c r="D706" s="5">
        <v>34855</v>
      </c>
      <c r="E706">
        <v>5067.09</v>
      </c>
      <c r="F706" t="s">
        <v>14</v>
      </c>
      <c r="G706">
        <v>294</v>
      </c>
      <c r="H706" s="1">
        <f t="shared" ref="H706:H769" si="11">EOMONTH(J706,G706)</f>
        <v>49918</v>
      </c>
      <c r="I706" t="s">
        <v>15</v>
      </c>
      <c r="J706" s="1">
        <v>40955</v>
      </c>
      <c r="K706" t="s">
        <v>35</v>
      </c>
      <c r="L706" s="3">
        <v>3.5699999999999996E-2</v>
      </c>
      <c r="M706" t="s">
        <v>17</v>
      </c>
      <c r="N706" t="s">
        <v>42</v>
      </c>
      <c r="O706">
        <v>38520.42</v>
      </c>
      <c r="P706" s="1">
        <v>46022</v>
      </c>
      <c r="R706" s="7"/>
      <c r="S706" s="7"/>
    </row>
    <row r="707" spans="1:19" x14ac:dyDescent="0.3">
      <c r="A707" t="s">
        <v>755</v>
      </c>
      <c r="B707" t="s">
        <v>24</v>
      </c>
      <c r="C707" t="s">
        <v>41</v>
      </c>
      <c r="D707" s="5">
        <v>73628</v>
      </c>
      <c r="E707">
        <v>66364.19</v>
      </c>
      <c r="F707" t="s">
        <v>14</v>
      </c>
      <c r="G707">
        <v>252</v>
      </c>
      <c r="H707" s="1">
        <f t="shared" si="11"/>
        <v>49948</v>
      </c>
      <c r="I707" t="s">
        <v>15</v>
      </c>
      <c r="J707" s="1">
        <v>42270</v>
      </c>
      <c r="K707" t="s">
        <v>39</v>
      </c>
      <c r="L707" s="3">
        <v>6.4299999999999996E-2</v>
      </c>
      <c r="M707" t="s">
        <v>17</v>
      </c>
      <c r="N707" t="s">
        <v>42</v>
      </c>
      <c r="O707">
        <v>87052.36</v>
      </c>
      <c r="P707" s="1">
        <v>46022</v>
      </c>
      <c r="R707" s="7"/>
      <c r="S707" s="7"/>
    </row>
    <row r="708" spans="1:19" x14ac:dyDescent="0.3">
      <c r="A708" t="s">
        <v>756</v>
      </c>
      <c r="B708" t="s">
        <v>24</v>
      </c>
      <c r="C708" t="s">
        <v>32</v>
      </c>
      <c r="D708" s="5">
        <v>4072</v>
      </c>
      <c r="E708">
        <v>2521.2199999999998</v>
      </c>
      <c r="F708" t="s">
        <v>33</v>
      </c>
      <c r="G708">
        <v>72</v>
      </c>
      <c r="H708" s="1">
        <f t="shared" si="11"/>
        <v>47664</v>
      </c>
      <c r="I708" t="s">
        <v>15</v>
      </c>
      <c r="J708" s="1">
        <v>45446</v>
      </c>
      <c r="K708" t="s">
        <v>22</v>
      </c>
      <c r="L708" s="3">
        <v>6.7400000000000002E-2</v>
      </c>
      <c r="M708" t="s">
        <v>29</v>
      </c>
      <c r="N708" t="s">
        <v>30</v>
      </c>
      <c r="O708">
        <v>0</v>
      </c>
      <c r="P708" s="1">
        <v>46022</v>
      </c>
      <c r="R708" s="7"/>
      <c r="S708" s="7"/>
    </row>
    <row r="709" spans="1:19" x14ac:dyDescent="0.3">
      <c r="A709" t="s">
        <v>757</v>
      </c>
      <c r="B709" t="s">
        <v>24</v>
      </c>
      <c r="C709" t="s">
        <v>25</v>
      </c>
      <c r="D709" s="5">
        <v>855405</v>
      </c>
      <c r="E709">
        <v>519681.94</v>
      </c>
      <c r="F709" t="s">
        <v>14</v>
      </c>
      <c r="G709">
        <v>294</v>
      </c>
      <c r="H709" s="1">
        <f t="shared" si="11"/>
        <v>51013</v>
      </c>
      <c r="I709" t="s">
        <v>15</v>
      </c>
      <c r="J709" s="1">
        <v>42041</v>
      </c>
      <c r="K709" t="s">
        <v>16</v>
      </c>
      <c r="L709" s="3">
        <v>8.77E-2</v>
      </c>
      <c r="M709" t="s">
        <v>17</v>
      </c>
      <c r="N709" t="s">
        <v>26</v>
      </c>
      <c r="O709">
        <v>1190967.57</v>
      </c>
      <c r="P709" s="1">
        <v>46022</v>
      </c>
      <c r="R709" s="7"/>
      <c r="S709" s="7"/>
    </row>
    <row r="710" spans="1:19" x14ac:dyDescent="0.3">
      <c r="A710" t="s">
        <v>758</v>
      </c>
      <c r="B710" t="s">
        <v>24</v>
      </c>
      <c r="C710" t="s">
        <v>25</v>
      </c>
      <c r="D710" s="5">
        <v>103438</v>
      </c>
      <c r="E710">
        <v>56916.79</v>
      </c>
      <c r="F710" t="s">
        <v>14</v>
      </c>
      <c r="G710">
        <v>216</v>
      </c>
      <c r="H710" s="1">
        <f t="shared" si="11"/>
        <v>49003</v>
      </c>
      <c r="I710" t="s">
        <v>15</v>
      </c>
      <c r="J710" s="1">
        <v>42426</v>
      </c>
      <c r="K710" t="s">
        <v>16</v>
      </c>
      <c r="L710" s="3">
        <v>9.0700000000000003E-2</v>
      </c>
      <c r="M710" t="s">
        <v>17</v>
      </c>
      <c r="N710" t="s">
        <v>26</v>
      </c>
      <c r="O710">
        <v>137093.06</v>
      </c>
      <c r="P710" s="1">
        <v>46022</v>
      </c>
      <c r="R710" s="7"/>
      <c r="S710" s="7"/>
    </row>
    <row r="711" spans="1:19" x14ac:dyDescent="0.3">
      <c r="A711" t="s">
        <v>759</v>
      </c>
      <c r="B711" t="s">
        <v>24</v>
      </c>
      <c r="C711" t="s">
        <v>32</v>
      </c>
      <c r="D711" s="5">
        <v>13094</v>
      </c>
      <c r="E711">
        <v>2127.2399999999998</v>
      </c>
      <c r="F711" t="s">
        <v>33</v>
      </c>
      <c r="G711">
        <v>60</v>
      </c>
      <c r="H711" s="1">
        <f t="shared" si="11"/>
        <v>46418</v>
      </c>
      <c r="I711" t="s">
        <v>15</v>
      </c>
      <c r="J711" s="1">
        <v>44585</v>
      </c>
      <c r="K711" t="s">
        <v>35</v>
      </c>
      <c r="L711" s="3">
        <v>3.4300000000000004E-2</v>
      </c>
      <c r="M711" t="s">
        <v>29</v>
      </c>
      <c r="N711" t="s">
        <v>30</v>
      </c>
      <c r="O711">
        <v>0</v>
      </c>
      <c r="P711" s="1">
        <v>46022</v>
      </c>
      <c r="R711" s="7"/>
      <c r="S711" s="7"/>
    </row>
    <row r="712" spans="1:19" x14ac:dyDescent="0.3">
      <c r="A712" t="s">
        <v>760</v>
      </c>
      <c r="B712" t="s">
        <v>24</v>
      </c>
      <c r="C712" t="s">
        <v>25</v>
      </c>
      <c r="D712" s="5">
        <v>766814</v>
      </c>
      <c r="E712">
        <v>138708.28</v>
      </c>
      <c r="F712" t="s">
        <v>14</v>
      </c>
      <c r="G712">
        <v>66</v>
      </c>
      <c r="H712" s="1">
        <f t="shared" si="11"/>
        <v>46599</v>
      </c>
      <c r="I712" t="s">
        <v>15</v>
      </c>
      <c r="J712" s="1">
        <v>44587</v>
      </c>
      <c r="K712" t="s">
        <v>39</v>
      </c>
      <c r="L712" s="3">
        <v>6.7500000000000004E-2</v>
      </c>
      <c r="M712" t="s">
        <v>17</v>
      </c>
      <c r="N712" t="s">
        <v>26</v>
      </c>
      <c r="O712">
        <v>1038600.65</v>
      </c>
      <c r="P712" s="1">
        <v>46022</v>
      </c>
      <c r="R712" s="7"/>
      <c r="S712" s="7"/>
    </row>
    <row r="713" spans="1:19" x14ac:dyDescent="0.3">
      <c r="A713" t="s">
        <v>761</v>
      </c>
      <c r="B713" t="s">
        <v>24</v>
      </c>
      <c r="C713" t="s">
        <v>28</v>
      </c>
      <c r="D713" s="5">
        <v>16497</v>
      </c>
      <c r="E713">
        <v>10571.77</v>
      </c>
      <c r="F713" t="s">
        <v>14</v>
      </c>
      <c r="G713">
        <v>234</v>
      </c>
      <c r="H713" s="1">
        <f t="shared" si="11"/>
        <v>48975</v>
      </c>
      <c r="I713" t="s">
        <v>15</v>
      </c>
      <c r="J713" s="1">
        <v>41827</v>
      </c>
      <c r="K713" t="s">
        <v>56</v>
      </c>
      <c r="L713" s="3">
        <v>3.5099999999999999E-2</v>
      </c>
      <c r="M713" t="s">
        <v>29</v>
      </c>
      <c r="N713" t="s">
        <v>30</v>
      </c>
      <c r="O713">
        <v>0</v>
      </c>
      <c r="P713" s="1">
        <v>46022</v>
      </c>
      <c r="R713" s="7"/>
      <c r="S713" s="7"/>
    </row>
    <row r="714" spans="1:19" x14ac:dyDescent="0.3">
      <c r="A714" t="s">
        <v>762</v>
      </c>
      <c r="B714" t="s">
        <v>24</v>
      </c>
      <c r="C714" t="s">
        <v>41</v>
      </c>
      <c r="D714" s="5">
        <v>19170</v>
      </c>
      <c r="E714">
        <v>7799.68</v>
      </c>
      <c r="F714" t="s">
        <v>14</v>
      </c>
      <c r="G714">
        <v>204</v>
      </c>
      <c r="H714" s="1">
        <f t="shared" si="11"/>
        <v>50951</v>
      </c>
      <c r="I714" t="s">
        <v>15</v>
      </c>
      <c r="J714" s="1">
        <v>44732</v>
      </c>
      <c r="K714" t="s">
        <v>22</v>
      </c>
      <c r="L714" s="3">
        <v>5.5899999999999998E-2</v>
      </c>
      <c r="M714" t="s">
        <v>17</v>
      </c>
      <c r="N714" t="s">
        <v>42</v>
      </c>
      <c r="O714">
        <v>21268.720000000001</v>
      </c>
      <c r="P714" s="1">
        <v>46022</v>
      </c>
      <c r="R714" s="7"/>
      <c r="S714" s="7"/>
    </row>
    <row r="715" spans="1:19" x14ac:dyDescent="0.3">
      <c r="A715" t="s">
        <v>763</v>
      </c>
      <c r="B715" t="s">
        <v>20</v>
      </c>
      <c r="C715" t="s">
        <v>47</v>
      </c>
      <c r="D715" s="5">
        <v>1833158</v>
      </c>
      <c r="E715">
        <v>1696663.27</v>
      </c>
      <c r="F715" t="s">
        <v>33</v>
      </c>
      <c r="G715">
        <v>156</v>
      </c>
      <c r="H715" s="1">
        <f t="shared" si="11"/>
        <v>49887</v>
      </c>
      <c r="I715" t="s">
        <v>15</v>
      </c>
      <c r="J715" s="1">
        <v>45126</v>
      </c>
      <c r="K715" t="s">
        <v>39</v>
      </c>
      <c r="L715" s="3">
        <v>9.6300000000000011E-2</v>
      </c>
      <c r="M715" t="s">
        <v>17</v>
      </c>
      <c r="N715" t="s">
        <v>54</v>
      </c>
      <c r="O715">
        <v>2624679.84</v>
      </c>
      <c r="P715" s="1">
        <v>46022</v>
      </c>
      <c r="R715" s="7"/>
      <c r="S715" s="7"/>
    </row>
    <row r="716" spans="1:19" x14ac:dyDescent="0.3">
      <c r="A716" t="s">
        <v>764</v>
      </c>
      <c r="B716" t="s">
        <v>24</v>
      </c>
      <c r="C716" t="s">
        <v>32</v>
      </c>
      <c r="D716" s="5">
        <v>14249</v>
      </c>
      <c r="E716">
        <v>6639.18</v>
      </c>
      <c r="F716" t="s">
        <v>33</v>
      </c>
      <c r="G716">
        <v>108</v>
      </c>
      <c r="H716" s="1">
        <f t="shared" si="11"/>
        <v>47208</v>
      </c>
      <c r="I716" t="s">
        <v>15</v>
      </c>
      <c r="J716" s="1">
        <v>43908</v>
      </c>
      <c r="K716" t="s">
        <v>39</v>
      </c>
      <c r="L716" s="3">
        <v>7.9100000000000004E-2</v>
      </c>
      <c r="M716" t="s">
        <v>29</v>
      </c>
      <c r="N716" t="s">
        <v>30</v>
      </c>
      <c r="O716">
        <v>0</v>
      </c>
      <c r="P716" s="1">
        <v>46022</v>
      </c>
      <c r="R716" s="7"/>
      <c r="S716" s="7"/>
    </row>
    <row r="717" spans="1:19" x14ac:dyDescent="0.3">
      <c r="A717" t="s">
        <v>765</v>
      </c>
      <c r="B717" t="s">
        <v>24</v>
      </c>
      <c r="C717" t="s">
        <v>25</v>
      </c>
      <c r="D717" s="5">
        <v>858441</v>
      </c>
      <c r="E717">
        <v>196542.84</v>
      </c>
      <c r="F717" t="s">
        <v>14</v>
      </c>
      <c r="G717">
        <v>126</v>
      </c>
      <c r="H717" s="1">
        <f t="shared" si="11"/>
        <v>46112</v>
      </c>
      <c r="I717" t="s">
        <v>15</v>
      </c>
      <c r="J717" s="1">
        <v>42263</v>
      </c>
      <c r="K717" t="s">
        <v>39</v>
      </c>
      <c r="L717" s="3">
        <v>7.2400000000000006E-2</v>
      </c>
      <c r="M717" t="s">
        <v>17</v>
      </c>
      <c r="N717" t="s">
        <v>26</v>
      </c>
      <c r="O717">
        <v>1129926.45</v>
      </c>
      <c r="P717" s="1">
        <v>46022</v>
      </c>
      <c r="R717" s="7"/>
      <c r="S717" s="7"/>
    </row>
    <row r="718" spans="1:19" x14ac:dyDescent="0.3">
      <c r="A718" t="s">
        <v>766</v>
      </c>
      <c r="B718" t="s">
        <v>37</v>
      </c>
      <c r="C718" t="s">
        <v>38</v>
      </c>
      <c r="D718" s="5">
        <v>163540480</v>
      </c>
      <c r="E718">
        <v>121550962.7</v>
      </c>
      <c r="F718" t="s">
        <v>14</v>
      </c>
      <c r="G718">
        <v>216</v>
      </c>
      <c r="H718" s="1">
        <f t="shared" si="11"/>
        <v>49156</v>
      </c>
      <c r="I718" t="s">
        <v>15</v>
      </c>
      <c r="J718" s="1">
        <v>42569</v>
      </c>
      <c r="K718" t="s">
        <v>22</v>
      </c>
      <c r="L718" s="3">
        <v>4.0999999999999995E-2</v>
      </c>
      <c r="M718" t="s">
        <v>17</v>
      </c>
      <c r="N718" t="s">
        <v>18</v>
      </c>
      <c r="O718">
        <v>204652598.40000001</v>
      </c>
      <c r="P718" s="1">
        <v>46022</v>
      </c>
      <c r="R718" s="7"/>
      <c r="S718" s="7"/>
    </row>
    <row r="719" spans="1:19" x14ac:dyDescent="0.3">
      <c r="A719" t="s">
        <v>767</v>
      </c>
      <c r="B719" t="s">
        <v>24</v>
      </c>
      <c r="C719" t="s">
        <v>28</v>
      </c>
      <c r="D719" s="5">
        <v>39658</v>
      </c>
      <c r="E719">
        <v>14436.12</v>
      </c>
      <c r="F719" t="s">
        <v>14</v>
      </c>
      <c r="G719">
        <v>240</v>
      </c>
      <c r="H719" s="1">
        <f t="shared" si="11"/>
        <v>48518</v>
      </c>
      <c r="I719" t="s">
        <v>15</v>
      </c>
      <c r="J719" s="1">
        <v>41184</v>
      </c>
      <c r="K719" t="s">
        <v>22</v>
      </c>
      <c r="L719" s="3">
        <v>4.0800000000000003E-2</v>
      </c>
      <c r="M719" t="s">
        <v>29</v>
      </c>
      <c r="N719" t="s">
        <v>30</v>
      </c>
      <c r="O719">
        <v>0</v>
      </c>
      <c r="P719" s="1">
        <v>46022</v>
      </c>
      <c r="R719" s="7"/>
      <c r="S719" s="7"/>
    </row>
    <row r="720" spans="1:19" x14ac:dyDescent="0.3">
      <c r="A720" t="s">
        <v>768</v>
      </c>
      <c r="B720" t="s">
        <v>24</v>
      </c>
      <c r="C720" t="s">
        <v>25</v>
      </c>
      <c r="D720" s="5">
        <v>902685</v>
      </c>
      <c r="E720">
        <v>517169.21</v>
      </c>
      <c r="F720" t="s">
        <v>14</v>
      </c>
      <c r="G720">
        <v>312</v>
      </c>
      <c r="H720" s="1">
        <f t="shared" si="11"/>
        <v>52778</v>
      </c>
      <c r="I720" t="s">
        <v>15</v>
      </c>
      <c r="J720" s="1">
        <v>43257</v>
      </c>
      <c r="K720" t="s">
        <v>35</v>
      </c>
      <c r="L720" s="3">
        <v>4.0500000000000001E-2</v>
      </c>
      <c r="M720" t="s">
        <v>17</v>
      </c>
      <c r="N720" t="s">
        <v>26</v>
      </c>
      <c r="O720">
        <v>1171245.3899999999</v>
      </c>
      <c r="P720" s="1">
        <v>46022</v>
      </c>
      <c r="R720" s="7"/>
      <c r="S720" s="7"/>
    </row>
    <row r="721" spans="1:19" x14ac:dyDescent="0.3">
      <c r="A721" t="s">
        <v>769</v>
      </c>
      <c r="B721" t="s">
        <v>24</v>
      </c>
      <c r="C721" t="s">
        <v>25</v>
      </c>
      <c r="D721" s="5">
        <v>490436</v>
      </c>
      <c r="E721">
        <v>357061.46</v>
      </c>
      <c r="F721" t="s">
        <v>14</v>
      </c>
      <c r="G721">
        <v>276</v>
      </c>
      <c r="H721" s="1">
        <f t="shared" si="11"/>
        <v>50436</v>
      </c>
      <c r="I721" t="s">
        <v>15</v>
      </c>
      <c r="J721" s="1">
        <v>42034</v>
      </c>
      <c r="K721" t="s">
        <v>39</v>
      </c>
      <c r="L721" s="3">
        <v>6.3899999999999998E-2</v>
      </c>
      <c r="M721" t="s">
        <v>17</v>
      </c>
      <c r="N721" t="s">
        <v>26</v>
      </c>
      <c r="O721">
        <v>590676.97</v>
      </c>
      <c r="P721" s="1">
        <v>46022</v>
      </c>
      <c r="R721" s="7"/>
      <c r="S721" s="7"/>
    </row>
    <row r="722" spans="1:19" x14ac:dyDescent="0.3">
      <c r="A722" t="s">
        <v>770</v>
      </c>
      <c r="B722" t="s">
        <v>24</v>
      </c>
      <c r="C722" t="s">
        <v>25</v>
      </c>
      <c r="D722" s="5">
        <v>918949</v>
      </c>
      <c r="E722">
        <v>836461.87</v>
      </c>
      <c r="F722" t="s">
        <v>14</v>
      </c>
      <c r="G722">
        <v>264</v>
      </c>
      <c r="H722" s="1">
        <f t="shared" si="11"/>
        <v>52931</v>
      </c>
      <c r="I722" t="s">
        <v>15</v>
      </c>
      <c r="J722" s="1">
        <v>44883</v>
      </c>
      <c r="K722" t="s">
        <v>22</v>
      </c>
      <c r="L722" s="3">
        <v>5.21E-2</v>
      </c>
      <c r="M722" t="s">
        <v>17</v>
      </c>
      <c r="N722" t="s">
        <v>26</v>
      </c>
      <c r="O722">
        <v>1235583.8500000001</v>
      </c>
      <c r="P722" s="1">
        <v>46022</v>
      </c>
      <c r="R722" s="7"/>
      <c r="S722" s="7"/>
    </row>
    <row r="723" spans="1:19" x14ac:dyDescent="0.3">
      <c r="A723" t="s">
        <v>771</v>
      </c>
      <c r="B723" t="s">
        <v>12</v>
      </c>
      <c r="C723" t="s">
        <v>26</v>
      </c>
      <c r="D723" s="5">
        <v>19488585</v>
      </c>
      <c r="E723">
        <v>15843675.1</v>
      </c>
      <c r="F723" t="s">
        <v>14</v>
      </c>
      <c r="G723">
        <v>132</v>
      </c>
      <c r="H723" s="1">
        <f t="shared" si="11"/>
        <v>49643</v>
      </c>
      <c r="I723" t="s">
        <v>15</v>
      </c>
      <c r="J723" s="1">
        <v>45625</v>
      </c>
      <c r="K723" t="s">
        <v>39</v>
      </c>
      <c r="L723" s="3">
        <v>9.0200000000000002E-2</v>
      </c>
      <c r="M723" t="s">
        <v>29</v>
      </c>
      <c r="N723" t="s">
        <v>30</v>
      </c>
      <c r="O723">
        <v>0</v>
      </c>
      <c r="P723" s="1">
        <v>46022</v>
      </c>
      <c r="R723" s="7"/>
      <c r="S723" s="7"/>
    </row>
    <row r="724" spans="1:19" x14ac:dyDescent="0.3">
      <c r="A724" t="s">
        <v>772</v>
      </c>
      <c r="B724" t="s">
        <v>12</v>
      </c>
      <c r="C724" t="s">
        <v>61</v>
      </c>
      <c r="D724" s="5">
        <v>48239842</v>
      </c>
      <c r="E724">
        <v>34188780.43</v>
      </c>
      <c r="F724" t="s">
        <v>14</v>
      </c>
      <c r="G724">
        <v>318</v>
      </c>
      <c r="H724" s="1">
        <f t="shared" si="11"/>
        <v>53751</v>
      </c>
      <c r="I724" t="s">
        <v>15</v>
      </c>
      <c r="J724" s="1">
        <v>44068</v>
      </c>
      <c r="K724" t="s">
        <v>35</v>
      </c>
      <c r="L724" s="3">
        <v>2.46E-2</v>
      </c>
      <c r="M724" t="s">
        <v>17</v>
      </c>
      <c r="N724" t="s">
        <v>54</v>
      </c>
      <c r="O724">
        <v>65458784.789999999</v>
      </c>
      <c r="P724" s="1">
        <v>46022</v>
      </c>
      <c r="R724" s="7"/>
      <c r="S724" s="7"/>
    </row>
    <row r="725" spans="1:19" x14ac:dyDescent="0.3">
      <c r="A725" t="s">
        <v>773</v>
      </c>
      <c r="B725" t="s">
        <v>20</v>
      </c>
      <c r="C725" t="s">
        <v>51</v>
      </c>
      <c r="D725" s="5">
        <v>491983</v>
      </c>
      <c r="E725">
        <v>350129.58</v>
      </c>
      <c r="F725" t="s">
        <v>33</v>
      </c>
      <c r="G725">
        <v>354</v>
      </c>
      <c r="H725" s="1">
        <f t="shared" si="11"/>
        <v>54423</v>
      </c>
      <c r="I725" t="s">
        <v>15</v>
      </c>
      <c r="J725" s="1">
        <v>43622</v>
      </c>
      <c r="K725" t="s">
        <v>22</v>
      </c>
      <c r="L725" s="3">
        <v>4.4800000000000006E-2</v>
      </c>
      <c r="M725" t="s">
        <v>17</v>
      </c>
      <c r="N725" t="s">
        <v>54</v>
      </c>
      <c r="O725">
        <v>948364.81</v>
      </c>
      <c r="P725" s="1">
        <v>46022</v>
      </c>
      <c r="R725" s="7"/>
      <c r="S725" s="7"/>
    </row>
    <row r="726" spans="1:19" x14ac:dyDescent="0.3">
      <c r="A726" t="s">
        <v>774</v>
      </c>
      <c r="B726" t="s">
        <v>37</v>
      </c>
      <c r="C726" t="s">
        <v>38</v>
      </c>
      <c r="D726" s="5">
        <v>346639441</v>
      </c>
      <c r="E726">
        <v>329769254.60000002</v>
      </c>
      <c r="F726" t="s">
        <v>33</v>
      </c>
      <c r="G726">
        <v>180</v>
      </c>
      <c r="H726" s="1">
        <f t="shared" si="11"/>
        <v>50344</v>
      </c>
      <c r="I726" t="s">
        <v>15</v>
      </c>
      <c r="J726" s="1">
        <v>44851</v>
      </c>
      <c r="K726" t="s">
        <v>22</v>
      </c>
      <c r="L726" s="3">
        <v>5.62E-2</v>
      </c>
      <c r="M726" t="s">
        <v>17</v>
      </c>
      <c r="N726" t="s">
        <v>26</v>
      </c>
      <c r="O726">
        <v>433264239.80000001</v>
      </c>
      <c r="P726" s="1">
        <v>46022</v>
      </c>
      <c r="R726" s="7"/>
      <c r="S726" s="7"/>
    </row>
    <row r="727" spans="1:19" x14ac:dyDescent="0.3">
      <c r="A727" t="s">
        <v>775</v>
      </c>
      <c r="B727" t="s">
        <v>24</v>
      </c>
      <c r="C727" t="s">
        <v>28</v>
      </c>
      <c r="D727" s="5">
        <v>25197</v>
      </c>
      <c r="E727">
        <v>9228.15</v>
      </c>
      <c r="F727" t="s">
        <v>48</v>
      </c>
      <c r="G727">
        <v>300</v>
      </c>
      <c r="H727" s="1">
        <f t="shared" si="11"/>
        <v>49705</v>
      </c>
      <c r="I727" t="s">
        <v>15</v>
      </c>
      <c r="J727" s="1">
        <v>40561</v>
      </c>
      <c r="K727" t="s">
        <v>56</v>
      </c>
      <c r="L727" s="3">
        <v>3.9399999999999998E-2</v>
      </c>
      <c r="M727" t="s">
        <v>29</v>
      </c>
      <c r="N727" t="s">
        <v>30</v>
      </c>
      <c r="O727">
        <v>0</v>
      </c>
      <c r="P727" s="1">
        <v>46022</v>
      </c>
      <c r="R727" s="7"/>
      <c r="S727" s="7"/>
    </row>
    <row r="728" spans="1:19" x14ac:dyDescent="0.3">
      <c r="A728" t="s">
        <v>776</v>
      </c>
      <c r="B728" t="s">
        <v>24</v>
      </c>
      <c r="C728" t="s">
        <v>41</v>
      </c>
      <c r="D728" s="5">
        <v>44888</v>
      </c>
      <c r="E728">
        <v>4533.7700000000004</v>
      </c>
      <c r="F728" t="s">
        <v>14</v>
      </c>
      <c r="G728">
        <v>258</v>
      </c>
      <c r="H728" s="1">
        <f t="shared" si="11"/>
        <v>50586</v>
      </c>
      <c r="I728" t="s">
        <v>15</v>
      </c>
      <c r="J728" s="1">
        <v>42719</v>
      </c>
      <c r="K728" t="s">
        <v>22</v>
      </c>
      <c r="L728" s="3">
        <v>4.0899999999999999E-2</v>
      </c>
      <c r="M728" t="s">
        <v>17</v>
      </c>
      <c r="N728" t="s">
        <v>42</v>
      </c>
      <c r="O728">
        <v>54682.28</v>
      </c>
      <c r="P728" s="1">
        <v>46022</v>
      </c>
      <c r="R728" s="7"/>
      <c r="S728" s="7"/>
    </row>
    <row r="729" spans="1:19" x14ac:dyDescent="0.3">
      <c r="A729" t="s">
        <v>777</v>
      </c>
      <c r="B729" t="s">
        <v>12</v>
      </c>
      <c r="C729" t="s">
        <v>13</v>
      </c>
      <c r="D729" s="5">
        <v>32002882</v>
      </c>
      <c r="E729">
        <v>11033284.93</v>
      </c>
      <c r="F729" t="s">
        <v>14</v>
      </c>
      <c r="G729">
        <v>360</v>
      </c>
      <c r="H729" s="1">
        <f t="shared" si="11"/>
        <v>52290</v>
      </c>
      <c r="I729" t="s">
        <v>15</v>
      </c>
      <c r="J729" s="1">
        <v>41324</v>
      </c>
      <c r="K729" t="s">
        <v>39</v>
      </c>
      <c r="L729" s="3">
        <v>6.8400000000000002E-2</v>
      </c>
      <c r="M729" t="s">
        <v>17</v>
      </c>
      <c r="N729" t="s">
        <v>26</v>
      </c>
      <c r="O729">
        <v>46055301.780000001</v>
      </c>
      <c r="P729" s="1">
        <v>46022</v>
      </c>
      <c r="R729" s="7"/>
      <c r="S729" s="7"/>
    </row>
    <row r="730" spans="1:19" x14ac:dyDescent="0.3">
      <c r="A730" t="s">
        <v>778</v>
      </c>
      <c r="B730" t="s">
        <v>24</v>
      </c>
      <c r="C730" t="s">
        <v>32</v>
      </c>
      <c r="D730" s="5">
        <v>35489</v>
      </c>
      <c r="E730">
        <v>10508.37</v>
      </c>
      <c r="F730" t="s">
        <v>33</v>
      </c>
      <c r="G730">
        <v>180</v>
      </c>
      <c r="H730" s="1">
        <f t="shared" si="11"/>
        <v>49156</v>
      </c>
      <c r="I730" t="s">
        <v>15</v>
      </c>
      <c r="J730" s="1">
        <v>43664</v>
      </c>
      <c r="K730" t="s">
        <v>16</v>
      </c>
      <c r="L730" s="3">
        <v>8.6199999999999999E-2</v>
      </c>
      <c r="M730" t="s">
        <v>29</v>
      </c>
      <c r="N730" t="s">
        <v>30</v>
      </c>
      <c r="O730">
        <v>0</v>
      </c>
      <c r="P730" s="1">
        <v>46022</v>
      </c>
      <c r="R730" s="7"/>
      <c r="S730" s="7"/>
    </row>
    <row r="731" spans="1:19" x14ac:dyDescent="0.3">
      <c r="A731" t="s">
        <v>779</v>
      </c>
      <c r="B731" t="s">
        <v>12</v>
      </c>
      <c r="C731" t="s">
        <v>63</v>
      </c>
      <c r="D731" s="5">
        <v>1213800</v>
      </c>
      <c r="E731">
        <v>844381.48</v>
      </c>
      <c r="F731" t="s">
        <v>33</v>
      </c>
      <c r="G731">
        <v>48</v>
      </c>
      <c r="H731" s="1">
        <f t="shared" si="11"/>
        <v>47057</v>
      </c>
      <c r="I731" t="s">
        <v>15</v>
      </c>
      <c r="J731" s="1">
        <v>45571</v>
      </c>
      <c r="K731" t="s">
        <v>22</v>
      </c>
      <c r="L731" s="3">
        <v>5.28E-2</v>
      </c>
      <c r="M731" t="s">
        <v>17</v>
      </c>
      <c r="N731" t="s">
        <v>18</v>
      </c>
      <c r="O731">
        <v>1788215.91</v>
      </c>
      <c r="P731" s="1">
        <v>46022</v>
      </c>
      <c r="R731" s="7"/>
      <c r="S731" s="7"/>
    </row>
    <row r="732" spans="1:19" x14ac:dyDescent="0.3">
      <c r="A732" t="s">
        <v>780</v>
      </c>
      <c r="B732" t="s">
        <v>24</v>
      </c>
      <c r="C732" t="s">
        <v>28</v>
      </c>
      <c r="D732" s="5">
        <v>9181</v>
      </c>
      <c r="E732">
        <v>6154.19</v>
      </c>
      <c r="F732" t="s">
        <v>33</v>
      </c>
      <c r="G732">
        <v>204</v>
      </c>
      <c r="H732" s="1">
        <f t="shared" si="11"/>
        <v>51195</v>
      </c>
      <c r="I732" t="s">
        <v>15</v>
      </c>
      <c r="J732" s="1">
        <v>44981</v>
      </c>
      <c r="K732" t="s">
        <v>22</v>
      </c>
      <c r="L732" s="3">
        <v>7.4200000000000002E-2</v>
      </c>
      <c r="M732" t="s">
        <v>29</v>
      </c>
      <c r="N732" t="s">
        <v>30</v>
      </c>
      <c r="O732">
        <v>0</v>
      </c>
      <c r="P732" s="1">
        <v>46022</v>
      </c>
      <c r="R732" s="7"/>
      <c r="S732" s="7"/>
    </row>
    <row r="733" spans="1:19" x14ac:dyDescent="0.3">
      <c r="A733" t="s">
        <v>781</v>
      </c>
      <c r="B733" t="s">
        <v>24</v>
      </c>
      <c r="C733" t="s">
        <v>41</v>
      </c>
      <c r="D733" s="5">
        <v>74174</v>
      </c>
      <c r="E733">
        <v>47034.95</v>
      </c>
      <c r="F733" t="s">
        <v>14</v>
      </c>
      <c r="G733">
        <v>342</v>
      </c>
      <c r="H733" s="1">
        <f t="shared" si="11"/>
        <v>52139</v>
      </c>
      <c r="I733" t="s">
        <v>15</v>
      </c>
      <c r="J733" s="1">
        <v>41705</v>
      </c>
      <c r="K733" t="s">
        <v>56</v>
      </c>
      <c r="L733" s="3">
        <v>3.9399999999999998E-2</v>
      </c>
      <c r="M733" t="s">
        <v>17</v>
      </c>
      <c r="N733" t="s">
        <v>42</v>
      </c>
      <c r="O733">
        <v>81388.97</v>
      </c>
      <c r="P733" s="1">
        <v>46022</v>
      </c>
      <c r="R733" s="7"/>
      <c r="S733" s="7"/>
    </row>
    <row r="734" spans="1:19" x14ac:dyDescent="0.3">
      <c r="A734" t="s">
        <v>782</v>
      </c>
      <c r="B734" t="s">
        <v>20</v>
      </c>
      <c r="C734" t="s">
        <v>21</v>
      </c>
      <c r="D734" s="5">
        <v>3348608</v>
      </c>
      <c r="E734">
        <v>383814.41</v>
      </c>
      <c r="F734" t="s">
        <v>33</v>
      </c>
      <c r="G734">
        <v>282</v>
      </c>
      <c r="H734" s="1">
        <f t="shared" si="11"/>
        <v>52870</v>
      </c>
      <c r="I734" t="s">
        <v>15</v>
      </c>
      <c r="J734" s="1">
        <v>44256</v>
      </c>
      <c r="K734" t="s">
        <v>16</v>
      </c>
      <c r="L734" s="3">
        <v>8.6199999999999999E-2</v>
      </c>
      <c r="M734" t="s">
        <v>17</v>
      </c>
      <c r="N734" t="s">
        <v>18</v>
      </c>
      <c r="O734">
        <v>5411146.9800000004</v>
      </c>
      <c r="P734" s="1">
        <v>46022</v>
      </c>
      <c r="R734" s="7"/>
      <c r="S734" s="7"/>
    </row>
    <row r="735" spans="1:19" x14ac:dyDescent="0.3">
      <c r="A735" t="s">
        <v>783</v>
      </c>
      <c r="B735" t="s">
        <v>24</v>
      </c>
      <c r="C735" t="s">
        <v>41</v>
      </c>
      <c r="D735" s="5">
        <v>96944</v>
      </c>
      <c r="E735">
        <v>73280.210000000006</v>
      </c>
      <c r="F735" t="s">
        <v>14</v>
      </c>
      <c r="G735">
        <v>60</v>
      </c>
      <c r="H735" s="1">
        <f t="shared" si="11"/>
        <v>46691</v>
      </c>
      <c r="I735" t="s">
        <v>15</v>
      </c>
      <c r="J735" s="1">
        <v>44835</v>
      </c>
      <c r="K735" t="s">
        <v>81</v>
      </c>
      <c r="L735" s="3">
        <v>2.5899999999999999E-2</v>
      </c>
      <c r="M735" t="s">
        <v>17</v>
      </c>
      <c r="N735" t="s">
        <v>42</v>
      </c>
      <c r="O735">
        <v>117990.31</v>
      </c>
      <c r="P735" s="1">
        <v>46022</v>
      </c>
      <c r="R735" s="7"/>
      <c r="S735" s="7"/>
    </row>
    <row r="736" spans="1:19" x14ac:dyDescent="0.3">
      <c r="A736" t="s">
        <v>784</v>
      </c>
      <c r="B736" t="s">
        <v>24</v>
      </c>
      <c r="C736" t="s">
        <v>41</v>
      </c>
      <c r="D736" s="5">
        <v>78493</v>
      </c>
      <c r="E736">
        <v>30704.84</v>
      </c>
      <c r="F736" t="s">
        <v>14</v>
      </c>
      <c r="G736">
        <v>306</v>
      </c>
      <c r="H736" s="1">
        <f t="shared" si="11"/>
        <v>54969</v>
      </c>
      <c r="I736" t="s">
        <v>15</v>
      </c>
      <c r="J736" s="1">
        <v>45632</v>
      </c>
      <c r="K736" t="s">
        <v>16</v>
      </c>
      <c r="L736" s="3">
        <v>0.11849999999999999</v>
      </c>
      <c r="M736" t="s">
        <v>17</v>
      </c>
      <c r="N736" t="s">
        <v>42</v>
      </c>
      <c r="O736">
        <v>87089.07</v>
      </c>
      <c r="P736" s="1">
        <v>46022</v>
      </c>
      <c r="R736" s="7"/>
      <c r="S736" s="7"/>
    </row>
    <row r="737" spans="1:19" x14ac:dyDescent="0.3">
      <c r="A737" t="s">
        <v>785</v>
      </c>
      <c r="B737" t="s">
        <v>24</v>
      </c>
      <c r="C737" t="s">
        <v>41</v>
      </c>
      <c r="D737" s="5">
        <v>95570</v>
      </c>
      <c r="E737">
        <v>66760.14</v>
      </c>
      <c r="F737" t="s">
        <v>14</v>
      </c>
      <c r="G737">
        <v>120</v>
      </c>
      <c r="H737" s="1">
        <f t="shared" si="11"/>
        <v>46173</v>
      </c>
      <c r="I737" t="s">
        <v>15</v>
      </c>
      <c r="J737" s="1">
        <v>42507</v>
      </c>
      <c r="K737" t="s">
        <v>22</v>
      </c>
      <c r="L737" s="3">
        <v>4.53E-2</v>
      </c>
      <c r="M737" t="s">
        <v>17</v>
      </c>
      <c r="N737" t="s">
        <v>42</v>
      </c>
      <c r="O737">
        <v>116952.97</v>
      </c>
      <c r="P737" s="1">
        <v>46022</v>
      </c>
      <c r="R737" s="7"/>
      <c r="S737" s="7"/>
    </row>
    <row r="738" spans="1:19" x14ac:dyDescent="0.3">
      <c r="A738" t="s">
        <v>786</v>
      </c>
      <c r="B738" t="s">
        <v>24</v>
      </c>
      <c r="C738" t="s">
        <v>25</v>
      </c>
      <c r="D738" s="5">
        <v>732286</v>
      </c>
      <c r="E738">
        <v>440046</v>
      </c>
      <c r="F738" t="s">
        <v>14</v>
      </c>
      <c r="G738">
        <v>240</v>
      </c>
      <c r="H738" s="1">
        <f t="shared" si="11"/>
        <v>48395</v>
      </c>
      <c r="I738" t="s">
        <v>15</v>
      </c>
      <c r="J738" s="1">
        <v>41064</v>
      </c>
      <c r="K738" t="s">
        <v>22</v>
      </c>
      <c r="L738" s="3">
        <v>4.41E-2</v>
      </c>
      <c r="M738" t="s">
        <v>17</v>
      </c>
      <c r="N738" t="s">
        <v>26</v>
      </c>
      <c r="O738">
        <v>866171.46</v>
      </c>
      <c r="P738" s="1">
        <v>46022</v>
      </c>
      <c r="R738" s="7"/>
      <c r="S738" s="7"/>
    </row>
    <row r="739" spans="1:19" x14ac:dyDescent="0.3">
      <c r="A739" t="s">
        <v>787</v>
      </c>
      <c r="B739" t="s">
        <v>24</v>
      </c>
      <c r="C739" t="s">
        <v>32</v>
      </c>
      <c r="D739" s="5">
        <v>15605</v>
      </c>
      <c r="E739">
        <v>6373.8</v>
      </c>
      <c r="F739" t="s">
        <v>33</v>
      </c>
      <c r="G739">
        <v>150</v>
      </c>
      <c r="H739" s="1">
        <f t="shared" si="11"/>
        <v>45626</v>
      </c>
      <c r="I739" t="s">
        <v>15</v>
      </c>
      <c r="J739" s="1">
        <v>41030</v>
      </c>
      <c r="K739" t="s">
        <v>16</v>
      </c>
      <c r="L739" s="3">
        <v>9.1199999999999989E-2</v>
      </c>
      <c r="M739" t="s">
        <v>29</v>
      </c>
      <c r="N739" t="s">
        <v>30</v>
      </c>
      <c r="O739">
        <v>0</v>
      </c>
      <c r="P739" s="1">
        <v>46022</v>
      </c>
      <c r="R739" s="7"/>
      <c r="S739" s="7"/>
    </row>
    <row r="740" spans="1:19" x14ac:dyDescent="0.3">
      <c r="A740" t="s">
        <v>788</v>
      </c>
      <c r="B740" t="s">
        <v>24</v>
      </c>
      <c r="C740" t="s">
        <v>25</v>
      </c>
      <c r="D740" s="5">
        <v>194828</v>
      </c>
      <c r="E740">
        <v>43080.2</v>
      </c>
      <c r="F740" t="s">
        <v>14</v>
      </c>
      <c r="G740">
        <v>114</v>
      </c>
      <c r="H740" s="1">
        <f t="shared" si="11"/>
        <v>45322</v>
      </c>
      <c r="I740" t="s">
        <v>15</v>
      </c>
      <c r="J740" s="1">
        <v>41821</v>
      </c>
      <c r="K740" t="s">
        <v>56</v>
      </c>
      <c r="L740" s="3">
        <v>3.4000000000000002E-2</v>
      </c>
      <c r="M740" t="s">
        <v>17</v>
      </c>
      <c r="N740" t="s">
        <v>26</v>
      </c>
      <c r="O740">
        <v>276038.07</v>
      </c>
      <c r="P740" s="1">
        <v>46022</v>
      </c>
      <c r="R740" s="7"/>
      <c r="S740" s="7"/>
    </row>
    <row r="741" spans="1:19" x14ac:dyDescent="0.3">
      <c r="A741" t="s">
        <v>789</v>
      </c>
      <c r="B741" t="s">
        <v>24</v>
      </c>
      <c r="C741" t="s">
        <v>41</v>
      </c>
      <c r="D741" s="5">
        <v>80364</v>
      </c>
      <c r="E741">
        <v>14865.52</v>
      </c>
      <c r="F741" t="s">
        <v>14</v>
      </c>
      <c r="G741">
        <v>60</v>
      </c>
      <c r="H741" s="1">
        <f t="shared" si="11"/>
        <v>47726</v>
      </c>
      <c r="I741" t="s">
        <v>15</v>
      </c>
      <c r="J741" s="1">
        <v>45876</v>
      </c>
      <c r="K741" t="s">
        <v>22</v>
      </c>
      <c r="L741" s="3">
        <v>4.3200000000000002E-2</v>
      </c>
      <c r="M741" t="s">
        <v>17</v>
      </c>
      <c r="N741" t="s">
        <v>42</v>
      </c>
      <c r="O741">
        <v>84531.49</v>
      </c>
      <c r="P741" s="1">
        <v>46022</v>
      </c>
      <c r="R741" s="7"/>
      <c r="S741" s="7"/>
    </row>
    <row r="742" spans="1:19" x14ac:dyDescent="0.3">
      <c r="A742" t="s">
        <v>790</v>
      </c>
      <c r="B742" t="s">
        <v>24</v>
      </c>
      <c r="C742" t="s">
        <v>28</v>
      </c>
      <c r="D742" s="5">
        <v>32563</v>
      </c>
      <c r="E742">
        <v>27625.62</v>
      </c>
      <c r="F742" t="s">
        <v>14</v>
      </c>
      <c r="G742">
        <v>66</v>
      </c>
      <c r="H742" s="1">
        <f t="shared" si="11"/>
        <v>47391</v>
      </c>
      <c r="I742" t="s">
        <v>15</v>
      </c>
      <c r="J742" s="1">
        <v>45361</v>
      </c>
      <c r="K742" t="s">
        <v>22</v>
      </c>
      <c r="L742" s="3">
        <v>5.0099999999999999E-2</v>
      </c>
      <c r="M742" t="s">
        <v>29</v>
      </c>
      <c r="N742" t="s">
        <v>30</v>
      </c>
      <c r="O742">
        <v>0</v>
      </c>
      <c r="P742" s="1">
        <v>46022</v>
      </c>
      <c r="R742" s="7"/>
      <c r="S742" s="7"/>
    </row>
    <row r="743" spans="1:19" x14ac:dyDescent="0.3">
      <c r="A743" t="s">
        <v>791</v>
      </c>
      <c r="B743" t="s">
        <v>24</v>
      </c>
      <c r="C743" t="s">
        <v>28</v>
      </c>
      <c r="D743" s="5">
        <v>3361</v>
      </c>
      <c r="E743">
        <v>3114.26</v>
      </c>
      <c r="F743" t="s">
        <v>48</v>
      </c>
      <c r="G743">
        <v>90</v>
      </c>
      <c r="H743" s="1">
        <f t="shared" si="11"/>
        <v>45169</v>
      </c>
      <c r="I743" t="s">
        <v>15</v>
      </c>
      <c r="J743" s="1">
        <v>42424</v>
      </c>
      <c r="K743" t="s">
        <v>35</v>
      </c>
      <c r="L743" s="3">
        <v>3.3500000000000002E-2</v>
      </c>
      <c r="M743" t="s">
        <v>29</v>
      </c>
      <c r="N743" t="s">
        <v>30</v>
      </c>
      <c r="O743">
        <v>0</v>
      </c>
      <c r="P743" s="1">
        <v>46022</v>
      </c>
      <c r="R743" s="7"/>
      <c r="S743" s="7"/>
    </row>
    <row r="744" spans="1:19" x14ac:dyDescent="0.3">
      <c r="A744" t="s">
        <v>792</v>
      </c>
      <c r="B744" t="s">
        <v>24</v>
      </c>
      <c r="C744" t="s">
        <v>41</v>
      </c>
      <c r="D744" s="5">
        <v>42405</v>
      </c>
      <c r="E744">
        <v>29039.02</v>
      </c>
      <c r="F744" t="s">
        <v>14</v>
      </c>
      <c r="G744">
        <v>60</v>
      </c>
      <c r="H744" s="1">
        <f t="shared" si="11"/>
        <v>46356</v>
      </c>
      <c r="I744" t="s">
        <v>15</v>
      </c>
      <c r="J744" s="1">
        <v>44505</v>
      </c>
      <c r="K744" t="s">
        <v>22</v>
      </c>
      <c r="L744" s="3">
        <v>3.9399999999999998E-2</v>
      </c>
      <c r="M744" t="s">
        <v>17</v>
      </c>
      <c r="N744" t="s">
        <v>42</v>
      </c>
      <c r="O744">
        <v>46854.79</v>
      </c>
      <c r="P744" s="1">
        <v>46022</v>
      </c>
      <c r="R744" s="7"/>
      <c r="S744" s="7"/>
    </row>
    <row r="745" spans="1:19" x14ac:dyDescent="0.3">
      <c r="A745" t="s">
        <v>793</v>
      </c>
      <c r="B745" t="s">
        <v>24</v>
      </c>
      <c r="C745" t="s">
        <v>41</v>
      </c>
      <c r="D745" s="5">
        <v>96112</v>
      </c>
      <c r="E745">
        <v>18558.330000000002</v>
      </c>
      <c r="F745" t="s">
        <v>14</v>
      </c>
      <c r="G745">
        <v>114</v>
      </c>
      <c r="H745" s="1">
        <f t="shared" si="11"/>
        <v>46660</v>
      </c>
      <c r="I745" t="s">
        <v>15</v>
      </c>
      <c r="J745" s="1">
        <v>43178</v>
      </c>
      <c r="K745" t="s">
        <v>39</v>
      </c>
      <c r="L745" s="3">
        <v>7.4700000000000003E-2</v>
      </c>
      <c r="M745" t="s">
        <v>17</v>
      </c>
      <c r="N745" t="s">
        <v>42</v>
      </c>
      <c r="O745">
        <v>110002.66</v>
      </c>
      <c r="P745" s="1">
        <v>46022</v>
      </c>
      <c r="R745" s="7"/>
      <c r="S745" s="7"/>
    </row>
    <row r="746" spans="1:19" x14ac:dyDescent="0.3">
      <c r="A746" t="s">
        <v>794</v>
      </c>
      <c r="B746" t="s">
        <v>37</v>
      </c>
      <c r="C746" t="s">
        <v>144</v>
      </c>
      <c r="D746" s="5">
        <v>255196561</v>
      </c>
      <c r="E746">
        <v>117856023.2</v>
      </c>
      <c r="F746" t="s">
        <v>33</v>
      </c>
      <c r="G746">
        <v>138</v>
      </c>
      <c r="H746" s="1">
        <f t="shared" si="11"/>
        <v>45688</v>
      </c>
      <c r="I746" t="s">
        <v>15</v>
      </c>
      <c r="J746" s="1">
        <v>41465</v>
      </c>
      <c r="K746" t="s">
        <v>39</v>
      </c>
      <c r="L746" s="3">
        <v>7.2499999999999995E-2</v>
      </c>
      <c r="M746" t="s">
        <v>29</v>
      </c>
      <c r="N746" t="s">
        <v>30</v>
      </c>
      <c r="O746">
        <v>0</v>
      </c>
      <c r="P746" s="1">
        <v>46022</v>
      </c>
      <c r="R746" s="7"/>
      <c r="S746" s="7"/>
    </row>
    <row r="747" spans="1:19" x14ac:dyDescent="0.3">
      <c r="A747" t="s">
        <v>795</v>
      </c>
      <c r="B747" t="s">
        <v>24</v>
      </c>
      <c r="C747" t="s">
        <v>25</v>
      </c>
      <c r="D747" s="5">
        <v>489456</v>
      </c>
      <c r="E747">
        <v>370051.06</v>
      </c>
      <c r="F747" t="s">
        <v>14</v>
      </c>
      <c r="G747">
        <v>162</v>
      </c>
      <c r="H747" s="1">
        <f t="shared" si="11"/>
        <v>45961</v>
      </c>
      <c r="I747" t="s">
        <v>15</v>
      </c>
      <c r="J747" s="1">
        <v>41016</v>
      </c>
      <c r="K747" t="s">
        <v>81</v>
      </c>
      <c r="L747" s="3">
        <v>2.7000000000000003E-2</v>
      </c>
      <c r="M747" t="s">
        <v>17</v>
      </c>
      <c r="N747" t="s">
        <v>26</v>
      </c>
      <c r="O747">
        <v>616968.06999999995</v>
      </c>
      <c r="P747" s="1">
        <v>46022</v>
      </c>
      <c r="R747" s="7"/>
      <c r="S747" s="7"/>
    </row>
    <row r="748" spans="1:19" x14ac:dyDescent="0.3">
      <c r="A748" t="s">
        <v>796</v>
      </c>
      <c r="B748" t="s">
        <v>24</v>
      </c>
      <c r="C748" t="s">
        <v>25</v>
      </c>
      <c r="D748" s="5">
        <v>511930</v>
      </c>
      <c r="E748">
        <v>410485.05</v>
      </c>
      <c r="F748" t="s">
        <v>14</v>
      </c>
      <c r="G748">
        <v>240</v>
      </c>
      <c r="H748" s="1">
        <f t="shared" si="11"/>
        <v>49460</v>
      </c>
      <c r="I748" t="s">
        <v>15</v>
      </c>
      <c r="J748" s="1">
        <v>42153</v>
      </c>
      <c r="K748" t="s">
        <v>16</v>
      </c>
      <c r="L748" s="3">
        <v>9.4800000000000009E-2</v>
      </c>
      <c r="M748" t="s">
        <v>17</v>
      </c>
      <c r="N748" t="s">
        <v>26</v>
      </c>
      <c r="O748">
        <v>649835.81999999995</v>
      </c>
      <c r="P748" s="1">
        <v>46022</v>
      </c>
      <c r="R748" s="7"/>
      <c r="S748" s="7"/>
    </row>
    <row r="749" spans="1:19" x14ac:dyDescent="0.3">
      <c r="A749" t="s">
        <v>797</v>
      </c>
      <c r="B749" t="s">
        <v>24</v>
      </c>
      <c r="C749" t="s">
        <v>41</v>
      </c>
      <c r="D749" s="5">
        <v>28799</v>
      </c>
      <c r="E749">
        <v>5944.11</v>
      </c>
      <c r="F749" t="s">
        <v>14</v>
      </c>
      <c r="G749">
        <v>192</v>
      </c>
      <c r="H749" s="1">
        <f t="shared" si="11"/>
        <v>51256</v>
      </c>
      <c r="I749" t="s">
        <v>15</v>
      </c>
      <c r="J749" s="1">
        <v>45398</v>
      </c>
      <c r="K749" t="s">
        <v>35</v>
      </c>
      <c r="L749" s="3">
        <v>6.3E-2</v>
      </c>
      <c r="M749" t="s">
        <v>17</v>
      </c>
      <c r="N749" t="s">
        <v>42</v>
      </c>
      <c r="O749">
        <v>33637.279999999999</v>
      </c>
      <c r="P749" s="1">
        <v>46022</v>
      </c>
      <c r="R749" s="7"/>
      <c r="S749" s="7"/>
    </row>
    <row r="750" spans="1:19" x14ac:dyDescent="0.3">
      <c r="A750" t="s">
        <v>798</v>
      </c>
      <c r="B750" t="s">
        <v>20</v>
      </c>
      <c r="C750" t="s">
        <v>51</v>
      </c>
      <c r="D750" s="5">
        <v>1875101</v>
      </c>
      <c r="E750">
        <v>187561.89</v>
      </c>
      <c r="F750" t="s">
        <v>14</v>
      </c>
      <c r="G750">
        <v>156</v>
      </c>
      <c r="H750" s="1">
        <f t="shared" si="11"/>
        <v>45777</v>
      </c>
      <c r="I750" t="s">
        <v>15</v>
      </c>
      <c r="J750" s="1">
        <v>41024</v>
      </c>
      <c r="K750" t="s">
        <v>35</v>
      </c>
      <c r="L750" s="3">
        <v>3.7400000000000003E-2</v>
      </c>
      <c r="M750" t="s">
        <v>17</v>
      </c>
      <c r="N750" t="s">
        <v>26</v>
      </c>
      <c r="O750">
        <v>3196194.34</v>
      </c>
      <c r="P750" s="1">
        <v>46022</v>
      </c>
      <c r="R750" s="7"/>
      <c r="S750" s="7"/>
    </row>
    <row r="751" spans="1:19" x14ac:dyDescent="0.3">
      <c r="A751" t="s">
        <v>799</v>
      </c>
      <c r="B751" t="s">
        <v>12</v>
      </c>
      <c r="C751" t="s">
        <v>61</v>
      </c>
      <c r="D751" s="5">
        <v>19120850</v>
      </c>
      <c r="E751">
        <v>14167083.73</v>
      </c>
      <c r="F751" t="s">
        <v>33</v>
      </c>
      <c r="G751">
        <v>162</v>
      </c>
      <c r="H751" s="1">
        <f t="shared" si="11"/>
        <v>45838</v>
      </c>
      <c r="I751" t="s">
        <v>15</v>
      </c>
      <c r="J751" s="1">
        <v>40904</v>
      </c>
      <c r="K751" t="s">
        <v>22</v>
      </c>
      <c r="L751" s="3">
        <v>5.2000000000000005E-2</v>
      </c>
      <c r="M751" t="s">
        <v>17</v>
      </c>
      <c r="N751" t="s">
        <v>54</v>
      </c>
      <c r="O751">
        <v>35734484.899999999</v>
      </c>
      <c r="P751" s="1">
        <v>46022</v>
      </c>
      <c r="R751" s="7"/>
      <c r="S751" s="7"/>
    </row>
    <row r="752" spans="1:19" x14ac:dyDescent="0.3">
      <c r="A752" t="s">
        <v>800</v>
      </c>
      <c r="B752" t="s">
        <v>20</v>
      </c>
      <c r="C752" t="s">
        <v>51</v>
      </c>
      <c r="D752" s="5">
        <v>309157</v>
      </c>
      <c r="E752">
        <v>130135.63</v>
      </c>
      <c r="F752" t="s">
        <v>33</v>
      </c>
      <c r="G752">
        <v>114</v>
      </c>
      <c r="H752" s="1">
        <f t="shared" si="11"/>
        <v>46356</v>
      </c>
      <c r="I752" t="s">
        <v>15</v>
      </c>
      <c r="J752" s="1">
        <v>42860</v>
      </c>
      <c r="K752" t="s">
        <v>56</v>
      </c>
      <c r="L752" s="3">
        <v>3.0699999999999998E-2</v>
      </c>
      <c r="M752" t="s">
        <v>17</v>
      </c>
      <c r="N752" t="s">
        <v>54</v>
      </c>
      <c r="O752">
        <v>473772.33</v>
      </c>
      <c r="P752" s="1">
        <v>46022</v>
      </c>
      <c r="R752" s="7"/>
      <c r="S752" s="7"/>
    </row>
    <row r="753" spans="1:19" x14ac:dyDescent="0.3">
      <c r="A753" t="s">
        <v>801</v>
      </c>
      <c r="B753" t="s">
        <v>24</v>
      </c>
      <c r="C753" t="s">
        <v>41</v>
      </c>
      <c r="D753" s="5">
        <v>79081</v>
      </c>
      <c r="E753">
        <v>26020.3</v>
      </c>
      <c r="F753" t="s">
        <v>14</v>
      </c>
      <c r="G753">
        <v>300</v>
      </c>
      <c r="H753" s="1">
        <f t="shared" si="11"/>
        <v>52351</v>
      </c>
      <c r="I753" t="s">
        <v>15</v>
      </c>
      <c r="J753" s="1">
        <v>43195</v>
      </c>
      <c r="K753" t="s">
        <v>35</v>
      </c>
      <c r="L753" s="3">
        <v>4.4000000000000004E-2</v>
      </c>
      <c r="M753" t="s">
        <v>17</v>
      </c>
      <c r="N753" t="s">
        <v>42</v>
      </c>
      <c r="O753">
        <v>86790.89</v>
      </c>
      <c r="P753" s="1">
        <v>46022</v>
      </c>
      <c r="R753" s="7"/>
      <c r="S753" s="7"/>
    </row>
    <row r="754" spans="1:19" x14ac:dyDescent="0.3">
      <c r="A754" t="s">
        <v>802</v>
      </c>
      <c r="B754" t="s">
        <v>12</v>
      </c>
      <c r="C754" t="s">
        <v>61</v>
      </c>
      <c r="D754" s="5">
        <v>21408717</v>
      </c>
      <c r="E754" s="4">
        <v>2389378.17</v>
      </c>
      <c r="F754" t="s">
        <v>48</v>
      </c>
      <c r="G754">
        <v>252</v>
      </c>
      <c r="H754" s="1">
        <f t="shared" si="11"/>
        <v>52170</v>
      </c>
      <c r="I754" t="s">
        <v>15</v>
      </c>
      <c r="J754" s="1">
        <v>44483</v>
      </c>
      <c r="K754" t="s">
        <v>22</v>
      </c>
      <c r="L754" s="3">
        <v>0.13750000000000001</v>
      </c>
      <c r="M754" t="s">
        <v>17</v>
      </c>
      <c r="N754" t="s">
        <v>18</v>
      </c>
      <c r="O754">
        <v>31493669.190000001</v>
      </c>
      <c r="P754" s="1">
        <v>46022</v>
      </c>
      <c r="R754" s="7"/>
      <c r="S754" s="7"/>
    </row>
    <row r="755" spans="1:19" x14ac:dyDescent="0.3">
      <c r="A755" t="s">
        <v>803</v>
      </c>
      <c r="B755" t="s">
        <v>12</v>
      </c>
      <c r="C755" t="s">
        <v>26</v>
      </c>
      <c r="D755" s="5">
        <v>41286814</v>
      </c>
      <c r="E755">
        <v>24205198.66</v>
      </c>
      <c r="F755" t="s">
        <v>33</v>
      </c>
      <c r="G755">
        <v>174</v>
      </c>
      <c r="H755" s="1">
        <f t="shared" si="11"/>
        <v>46996</v>
      </c>
      <c r="I755" t="s">
        <v>15</v>
      </c>
      <c r="J755" s="1">
        <v>41688</v>
      </c>
      <c r="K755" t="s">
        <v>22</v>
      </c>
      <c r="L755" s="3">
        <v>5.0099999999999999E-2</v>
      </c>
      <c r="M755" t="s">
        <v>17</v>
      </c>
      <c r="N755" t="s">
        <v>54</v>
      </c>
      <c r="O755">
        <v>56892908.590000004</v>
      </c>
      <c r="P755" s="1">
        <v>46022</v>
      </c>
      <c r="R755" s="7"/>
      <c r="S755" s="7"/>
    </row>
    <row r="756" spans="1:19" x14ac:dyDescent="0.3">
      <c r="A756" t="s">
        <v>804</v>
      </c>
      <c r="B756" t="s">
        <v>24</v>
      </c>
      <c r="C756" t="s">
        <v>32</v>
      </c>
      <c r="D756" s="5">
        <v>42667</v>
      </c>
      <c r="E756">
        <v>36951.19</v>
      </c>
      <c r="F756" t="s">
        <v>33</v>
      </c>
      <c r="G756">
        <v>234</v>
      </c>
      <c r="H756" s="1">
        <f t="shared" si="11"/>
        <v>52596</v>
      </c>
      <c r="I756" t="s">
        <v>15</v>
      </c>
      <c r="J756" s="1">
        <v>45467</v>
      </c>
      <c r="K756" t="s">
        <v>35</v>
      </c>
      <c r="L756" s="3">
        <v>6.25E-2</v>
      </c>
      <c r="M756" t="s">
        <v>29</v>
      </c>
      <c r="N756" t="s">
        <v>30</v>
      </c>
      <c r="O756">
        <v>0</v>
      </c>
      <c r="P756" s="1">
        <v>46022</v>
      </c>
      <c r="R756" s="7"/>
      <c r="S756" s="7"/>
    </row>
    <row r="757" spans="1:19" x14ac:dyDescent="0.3">
      <c r="A757" t="s">
        <v>805</v>
      </c>
      <c r="B757" t="s">
        <v>24</v>
      </c>
      <c r="C757" t="s">
        <v>28</v>
      </c>
      <c r="D757" s="5">
        <v>11388</v>
      </c>
      <c r="E757">
        <v>10953.48</v>
      </c>
      <c r="F757" t="s">
        <v>33</v>
      </c>
      <c r="G757">
        <v>360</v>
      </c>
      <c r="H757" s="1">
        <f t="shared" si="11"/>
        <v>55243</v>
      </c>
      <c r="I757" t="s">
        <v>15</v>
      </c>
      <c r="J757" s="1">
        <v>44266</v>
      </c>
      <c r="K757" t="s">
        <v>35</v>
      </c>
      <c r="L757" s="3">
        <v>2.5399999999999999E-2</v>
      </c>
      <c r="M757" t="s">
        <v>29</v>
      </c>
      <c r="N757" t="s">
        <v>30</v>
      </c>
      <c r="O757">
        <v>0</v>
      </c>
      <c r="P757" s="1">
        <v>46022</v>
      </c>
      <c r="R757" s="7"/>
      <c r="S757" s="7"/>
    </row>
    <row r="758" spans="1:19" x14ac:dyDescent="0.3">
      <c r="A758" t="s">
        <v>806</v>
      </c>
      <c r="B758" t="s">
        <v>24</v>
      </c>
      <c r="C758" t="s">
        <v>28</v>
      </c>
      <c r="D758" s="5">
        <v>33210</v>
      </c>
      <c r="E758">
        <v>20230.75</v>
      </c>
      <c r="F758" t="s">
        <v>14</v>
      </c>
      <c r="G758">
        <v>246</v>
      </c>
      <c r="H758" s="1">
        <f t="shared" si="11"/>
        <v>50464</v>
      </c>
      <c r="I758" t="s">
        <v>15</v>
      </c>
      <c r="J758" s="1">
        <v>42949</v>
      </c>
      <c r="K758" t="s">
        <v>39</v>
      </c>
      <c r="L758" s="3">
        <v>6.5500000000000003E-2</v>
      </c>
      <c r="M758" t="s">
        <v>29</v>
      </c>
      <c r="N758" t="s">
        <v>30</v>
      </c>
      <c r="O758">
        <v>0</v>
      </c>
      <c r="P758" s="1">
        <v>46022</v>
      </c>
      <c r="R758" s="7"/>
      <c r="S758" s="7"/>
    </row>
    <row r="759" spans="1:19" x14ac:dyDescent="0.3">
      <c r="A759" t="s">
        <v>807</v>
      </c>
      <c r="B759" t="s">
        <v>12</v>
      </c>
      <c r="C759" t="s">
        <v>63</v>
      </c>
      <c r="D759" s="5">
        <v>24141808</v>
      </c>
      <c r="E759">
        <v>13592204.960000001</v>
      </c>
      <c r="F759" t="s">
        <v>14</v>
      </c>
      <c r="G759">
        <v>198</v>
      </c>
      <c r="H759" s="1">
        <f t="shared" si="11"/>
        <v>49979</v>
      </c>
      <c r="I759" t="s">
        <v>15</v>
      </c>
      <c r="J759" s="1">
        <v>43936</v>
      </c>
      <c r="K759" t="s">
        <v>16</v>
      </c>
      <c r="L759" s="3">
        <v>8.0299999999999996E-2</v>
      </c>
      <c r="M759" t="s">
        <v>29</v>
      </c>
      <c r="N759" t="s">
        <v>30</v>
      </c>
      <c r="O759">
        <v>0</v>
      </c>
      <c r="P759" s="1">
        <v>46022</v>
      </c>
      <c r="R759" s="7"/>
      <c r="S759" s="7"/>
    </row>
    <row r="760" spans="1:19" x14ac:dyDescent="0.3">
      <c r="A760" t="s">
        <v>808</v>
      </c>
      <c r="B760" t="s">
        <v>24</v>
      </c>
      <c r="C760" t="s">
        <v>32</v>
      </c>
      <c r="D760" s="5">
        <v>44128</v>
      </c>
      <c r="E760">
        <v>7790.77</v>
      </c>
      <c r="F760" t="s">
        <v>33</v>
      </c>
      <c r="G760">
        <v>114</v>
      </c>
      <c r="H760" s="1">
        <f t="shared" si="11"/>
        <v>47726</v>
      </c>
      <c r="I760" t="s">
        <v>15</v>
      </c>
      <c r="J760" s="1">
        <v>44245</v>
      </c>
      <c r="K760" t="s">
        <v>22</v>
      </c>
      <c r="L760" s="3">
        <v>4.4600000000000001E-2</v>
      </c>
      <c r="M760" t="s">
        <v>29</v>
      </c>
      <c r="N760" t="s">
        <v>30</v>
      </c>
      <c r="O760">
        <v>0</v>
      </c>
      <c r="P760" s="1">
        <v>46022</v>
      </c>
      <c r="R760" s="7"/>
      <c r="S760" s="7"/>
    </row>
    <row r="761" spans="1:19" x14ac:dyDescent="0.3">
      <c r="A761" t="s">
        <v>809</v>
      </c>
      <c r="B761" t="s">
        <v>24</v>
      </c>
      <c r="C761" t="s">
        <v>28</v>
      </c>
      <c r="D761" s="5">
        <v>11571</v>
      </c>
      <c r="E761">
        <v>6873.18</v>
      </c>
      <c r="F761" t="s">
        <v>48</v>
      </c>
      <c r="G761">
        <v>222</v>
      </c>
      <c r="H761" s="1">
        <f t="shared" si="11"/>
        <v>50040</v>
      </c>
      <c r="I761" t="s">
        <v>15</v>
      </c>
      <c r="J761" s="1">
        <v>43264</v>
      </c>
      <c r="K761" t="s">
        <v>56</v>
      </c>
      <c r="L761" s="3">
        <v>3.7499999999999999E-2</v>
      </c>
      <c r="M761" t="s">
        <v>29</v>
      </c>
      <c r="N761" t="s">
        <v>30</v>
      </c>
      <c r="O761">
        <v>0</v>
      </c>
      <c r="P761" s="1">
        <v>46022</v>
      </c>
      <c r="R761" s="7"/>
      <c r="S761" s="7"/>
    </row>
    <row r="762" spans="1:19" x14ac:dyDescent="0.3">
      <c r="A762" t="s">
        <v>810</v>
      </c>
      <c r="B762" t="s">
        <v>24</v>
      </c>
      <c r="C762" t="s">
        <v>32</v>
      </c>
      <c r="D762" s="5">
        <v>34213</v>
      </c>
      <c r="E762">
        <v>15121.44</v>
      </c>
      <c r="F762" t="s">
        <v>33</v>
      </c>
      <c r="G762">
        <v>114</v>
      </c>
      <c r="H762" s="1">
        <f t="shared" si="11"/>
        <v>48579</v>
      </c>
      <c r="I762" t="s">
        <v>15</v>
      </c>
      <c r="J762" s="1">
        <v>45083</v>
      </c>
      <c r="K762" t="s">
        <v>35</v>
      </c>
      <c r="L762" s="3">
        <v>6.2600000000000003E-2</v>
      </c>
      <c r="M762" t="s">
        <v>29</v>
      </c>
      <c r="N762" t="s">
        <v>30</v>
      </c>
      <c r="O762">
        <v>0</v>
      </c>
      <c r="P762" s="1">
        <v>46022</v>
      </c>
      <c r="R762" s="7"/>
      <c r="S762" s="7"/>
    </row>
    <row r="763" spans="1:19" x14ac:dyDescent="0.3">
      <c r="A763" t="s">
        <v>811</v>
      </c>
      <c r="B763" t="s">
        <v>12</v>
      </c>
      <c r="C763" t="s">
        <v>13</v>
      </c>
      <c r="D763" s="5">
        <v>30779854</v>
      </c>
      <c r="E763">
        <v>19896767.170000002</v>
      </c>
      <c r="F763" t="s">
        <v>14</v>
      </c>
      <c r="G763">
        <v>198</v>
      </c>
      <c r="H763" s="1">
        <f t="shared" si="11"/>
        <v>47756</v>
      </c>
      <c r="I763" t="s">
        <v>15</v>
      </c>
      <c r="J763" s="1">
        <v>41718</v>
      </c>
      <c r="K763" t="s">
        <v>56</v>
      </c>
      <c r="L763" s="3">
        <v>3.3500000000000002E-2</v>
      </c>
      <c r="M763" t="s">
        <v>17</v>
      </c>
      <c r="N763" t="s">
        <v>42</v>
      </c>
      <c r="O763">
        <v>38502727.920000002</v>
      </c>
      <c r="P763" s="1">
        <v>46022</v>
      </c>
      <c r="R763" s="7"/>
      <c r="S763" s="7"/>
    </row>
    <row r="764" spans="1:19" x14ac:dyDescent="0.3">
      <c r="A764" t="s">
        <v>812</v>
      </c>
      <c r="B764" t="s">
        <v>24</v>
      </c>
      <c r="C764" t="s">
        <v>41</v>
      </c>
      <c r="D764" s="5">
        <v>36577</v>
      </c>
      <c r="E764">
        <v>16454.36</v>
      </c>
      <c r="F764" t="s">
        <v>14</v>
      </c>
      <c r="G764">
        <v>282</v>
      </c>
      <c r="H764" s="1">
        <f t="shared" si="11"/>
        <v>49187</v>
      </c>
      <c r="I764" t="s">
        <v>15</v>
      </c>
      <c r="J764" s="1">
        <v>40588</v>
      </c>
      <c r="K764" t="s">
        <v>35</v>
      </c>
      <c r="L764" s="3">
        <v>4.8099999999999997E-2</v>
      </c>
      <c r="M764" t="s">
        <v>17</v>
      </c>
      <c r="N764" t="s">
        <v>42</v>
      </c>
      <c r="O764">
        <v>44694.6</v>
      </c>
      <c r="P764" s="1">
        <v>46022</v>
      </c>
      <c r="R764" s="7"/>
      <c r="S764" s="7"/>
    </row>
    <row r="765" spans="1:19" x14ac:dyDescent="0.3">
      <c r="A765" t="s">
        <v>813</v>
      </c>
      <c r="B765" t="s">
        <v>24</v>
      </c>
      <c r="C765" t="s">
        <v>41</v>
      </c>
      <c r="D765" s="5">
        <v>22294</v>
      </c>
      <c r="E765">
        <v>7050.93</v>
      </c>
      <c r="F765" t="s">
        <v>14</v>
      </c>
      <c r="G765">
        <v>96</v>
      </c>
      <c r="H765" s="1">
        <f t="shared" si="11"/>
        <v>46538</v>
      </c>
      <c r="I765" t="s">
        <v>15</v>
      </c>
      <c r="J765" s="1">
        <v>43608</v>
      </c>
      <c r="K765" t="s">
        <v>22</v>
      </c>
      <c r="L765" s="3">
        <v>4.4699999999999997E-2</v>
      </c>
      <c r="M765" t="s">
        <v>17</v>
      </c>
      <c r="N765" t="s">
        <v>42</v>
      </c>
      <c r="O765">
        <v>23057.49</v>
      </c>
      <c r="P765" s="1">
        <v>46022</v>
      </c>
      <c r="R765" s="7"/>
      <c r="S765" s="7"/>
    </row>
    <row r="766" spans="1:19" x14ac:dyDescent="0.3">
      <c r="A766" t="s">
        <v>814</v>
      </c>
      <c r="B766" t="s">
        <v>37</v>
      </c>
      <c r="C766" t="s">
        <v>144</v>
      </c>
      <c r="D766" s="5">
        <v>329303483</v>
      </c>
      <c r="E766">
        <v>61075504.539999999</v>
      </c>
      <c r="F766" t="s">
        <v>14</v>
      </c>
      <c r="G766">
        <v>138</v>
      </c>
      <c r="H766" s="1">
        <f t="shared" si="11"/>
        <v>45473</v>
      </c>
      <c r="I766" t="s">
        <v>15</v>
      </c>
      <c r="J766" s="1">
        <v>41262</v>
      </c>
      <c r="K766" t="s">
        <v>35</v>
      </c>
      <c r="L766" s="3">
        <v>3.3599999999999998E-2</v>
      </c>
      <c r="M766" t="s">
        <v>17</v>
      </c>
      <c r="N766" t="s">
        <v>18</v>
      </c>
      <c r="O766">
        <v>480043239</v>
      </c>
      <c r="P766" s="1">
        <v>46022</v>
      </c>
      <c r="R766" s="7"/>
      <c r="S766" s="7"/>
    </row>
    <row r="767" spans="1:19" x14ac:dyDescent="0.3">
      <c r="A767" t="s">
        <v>815</v>
      </c>
      <c r="B767" t="s">
        <v>37</v>
      </c>
      <c r="C767" t="s">
        <v>38</v>
      </c>
      <c r="D767" s="5">
        <v>371912755</v>
      </c>
      <c r="E767">
        <v>142601243</v>
      </c>
      <c r="F767" t="s">
        <v>48</v>
      </c>
      <c r="G767">
        <v>60</v>
      </c>
      <c r="H767" s="1">
        <f t="shared" si="11"/>
        <v>45565</v>
      </c>
      <c r="I767" t="s">
        <v>15</v>
      </c>
      <c r="J767" s="1">
        <v>43738</v>
      </c>
      <c r="K767" t="s">
        <v>22</v>
      </c>
      <c r="L767" s="3">
        <v>4.2000000000000003E-2</v>
      </c>
      <c r="M767" t="s">
        <v>29</v>
      </c>
      <c r="N767" t="s">
        <v>30</v>
      </c>
      <c r="O767">
        <v>0</v>
      </c>
      <c r="P767" s="1">
        <v>46022</v>
      </c>
      <c r="R767" s="7"/>
      <c r="S767" s="7"/>
    </row>
    <row r="768" spans="1:19" x14ac:dyDescent="0.3">
      <c r="A768" t="s">
        <v>816</v>
      </c>
      <c r="B768" t="s">
        <v>24</v>
      </c>
      <c r="C768" t="s">
        <v>32</v>
      </c>
      <c r="D768" s="5">
        <v>16466</v>
      </c>
      <c r="E768">
        <v>3078.77</v>
      </c>
      <c r="F768" t="s">
        <v>33</v>
      </c>
      <c r="G768">
        <v>156</v>
      </c>
      <c r="H768" s="1">
        <f t="shared" si="11"/>
        <v>49582</v>
      </c>
      <c r="I768" t="s">
        <v>15</v>
      </c>
      <c r="J768" s="1">
        <v>44826</v>
      </c>
      <c r="K768" t="s">
        <v>22</v>
      </c>
      <c r="L768" s="3">
        <v>5.7099999999999998E-2</v>
      </c>
      <c r="M768" t="s">
        <v>29</v>
      </c>
      <c r="N768" t="s">
        <v>30</v>
      </c>
      <c r="O768">
        <v>0</v>
      </c>
      <c r="P768" s="1">
        <v>46022</v>
      </c>
      <c r="R768" s="7"/>
      <c r="S768" s="7"/>
    </row>
    <row r="769" spans="1:19" x14ac:dyDescent="0.3">
      <c r="A769" t="s">
        <v>817</v>
      </c>
      <c r="B769" t="s">
        <v>24</v>
      </c>
      <c r="C769" t="s">
        <v>25</v>
      </c>
      <c r="D769" s="5">
        <v>680349</v>
      </c>
      <c r="E769">
        <v>176351.49</v>
      </c>
      <c r="F769" t="s">
        <v>14</v>
      </c>
      <c r="G769">
        <v>192</v>
      </c>
      <c r="H769" s="1">
        <f t="shared" si="11"/>
        <v>50586</v>
      </c>
      <c r="I769" t="s">
        <v>15</v>
      </c>
      <c r="J769" s="1">
        <v>44734</v>
      </c>
      <c r="K769" t="s">
        <v>16</v>
      </c>
      <c r="L769" s="3">
        <v>9.7699999999999995E-2</v>
      </c>
      <c r="M769" t="s">
        <v>17</v>
      </c>
      <c r="N769" t="s">
        <v>26</v>
      </c>
      <c r="O769">
        <v>878785.52</v>
      </c>
      <c r="P769" s="1">
        <v>46022</v>
      </c>
      <c r="R769" s="7"/>
      <c r="S769" s="7"/>
    </row>
    <row r="770" spans="1:19" x14ac:dyDescent="0.3">
      <c r="A770" t="s">
        <v>818</v>
      </c>
      <c r="B770" t="s">
        <v>24</v>
      </c>
      <c r="C770" t="s">
        <v>25</v>
      </c>
      <c r="D770" s="5">
        <v>455618</v>
      </c>
      <c r="E770">
        <v>450424.94</v>
      </c>
      <c r="F770" t="s">
        <v>14</v>
      </c>
      <c r="G770">
        <v>72</v>
      </c>
      <c r="H770" s="1">
        <f t="shared" ref="H770:H833" si="12">EOMONTH(J770,G770)</f>
        <v>47542</v>
      </c>
      <c r="I770" t="s">
        <v>15</v>
      </c>
      <c r="J770" s="1">
        <v>45336</v>
      </c>
      <c r="K770" t="s">
        <v>16</v>
      </c>
      <c r="L770" s="3">
        <v>0.11650000000000001</v>
      </c>
      <c r="M770" t="s">
        <v>17</v>
      </c>
      <c r="N770" t="s">
        <v>26</v>
      </c>
      <c r="O770">
        <v>632980.6</v>
      </c>
      <c r="P770" s="1">
        <v>46022</v>
      </c>
      <c r="R770" s="7"/>
      <c r="S770" s="7"/>
    </row>
    <row r="771" spans="1:19" x14ac:dyDescent="0.3">
      <c r="A771" t="s">
        <v>819</v>
      </c>
      <c r="B771" t="s">
        <v>24</v>
      </c>
      <c r="C771" t="s">
        <v>32</v>
      </c>
      <c r="D771" s="5">
        <v>35947</v>
      </c>
      <c r="E771">
        <v>17962.54</v>
      </c>
      <c r="F771" t="s">
        <v>33</v>
      </c>
      <c r="G771">
        <v>48</v>
      </c>
      <c r="H771" s="1">
        <f t="shared" si="12"/>
        <v>45961</v>
      </c>
      <c r="I771" t="s">
        <v>15</v>
      </c>
      <c r="J771" s="1">
        <v>44495</v>
      </c>
      <c r="K771" t="s">
        <v>22</v>
      </c>
      <c r="L771" s="3">
        <v>5.8299999999999998E-2</v>
      </c>
      <c r="M771" t="s">
        <v>29</v>
      </c>
      <c r="N771" t="s">
        <v>30</v>
      </c>
      <c r="O771">
        <v>0</v>
      </c>
      <c r="P771" s="1">
        <v>46022</v>
      </c>
      <c r="R771" s="7"/>
      <c r="S771" s="7"/>
    </row>
    <row r="772" spans="1:19" x14ac:dyDescent="0.3">
      <c r="A772" t="s">
        <v>820</v>
      </c>
      <c r="B772" t="s">
        <v>12</v>
      </c>
      <c r="C772" t="s">
        <v>63</v>
      </c>
      <c r="D772" s="5">
        <v>10761548</v>
      </c>
      <c r="E772">
        <v>6227542.2599999998</v>
      </c>
      <c r="F772" t="s">
        <v>33</v>
      </c>
      <c r="G772">
        <v>30</v>
      </c>
      <c r="H772" s="1">
        <f t="shared" si="12"/>
        <v>45322</v>
      </c>
      <c r="I772" t="s">
        <v>15</v>
      </c>
      <c r="J772" s="1">
        <v>44383</v>
      </c>
      <c r="K772" t="s">
        <v>22</v>
      </c>
      <c r="L772" s="3">
        <v>5.1100000000000007E-2</v>
      </c>
      <c r="M772" t="s">
        <v>17</v>
      </c>
      <c r="N772" t="s">
        <v>54</v>
      </c>
      <c r="O772">
        <v>15825012.15</v>
      </c>
      <c r="P772" s="1">
        <v>46022</v>
      </c>
      <c r="R772" s="7"/>
      <c r="S772" s="7"/>
    </row>
    <row r="773" spans="1:19" x14ac:dyDescent="0.3">
      <c r="A773" t="s">
        <v>821</v>
      </c>
      <c r="B773" t="s">
        <v>24</v>
      </c>
      <c r="C773" t="s">
        <v>32</v>
      </c>
      <c r="D773" s="5">
        <v>44621</v>
      </c>
      <c r="E773">
        <v>39545.25</v>
      </c>
      <c r="F773" t="s">
        <v>33</v>
      </c>
      <c r="G773">
        <v>252</v>
      </c>
      <c r="H773" s="1">
        <f t="shared" si="12"/>
        <v>47999</v>
      </c>
      <c r="I773" t="s">
        <v>15</v>
      </c>
      <c r="J773" s="1">
        <v>40303</v>
      </c>
      <c r="K773" t="s">
        <v>22</v>
      </c>
      <c r="L773" s="3">
        <v>6.08E-2</v>
      </c>
      <c r="M773" t="s">
        <v>29</v>
      </c>
      <c r="N773" t="s">
        <v>30</v>
      </c>
      <c r="O773">
        <v>0</v>
      </c>
      <c r="P773" s="1">
        <v>46022</v>
      </c>
      <c r="R773" s="7"/>
      <c r="S773" s="7"/>
    </row>
    <row r="774" spans="1:19" x14ac:dyDescent="0.3">
      <c r="A774" t="s">
        <v>822</v>
      </c>
      <c r="B774" t="s">
        <v>24</v>
      </c>
      <c r="C774" t="s">
        <v>28</v>
      </c>
      <c r="D774" s="5">
        <v>15083</v>
      </c>
      <c r="E774">
        <v>15022.92</v>
      </c>
      <c r="F774" t="s">
        <v>48</v>
      </c>
      <c r="G774">
        <v>168</v>
      </c>
      <c r="H774" s="1">
        <f t="shared" si="12"/>
        <v>50099</v>
      </c>
      <c r="I774" t="s">
        <v>15</v>
      </c>
      <c r="J774" s="1">
        <v>44984</v>
      </c>
      <c r="K774" t="s">
        <v>22</v>
      </c>
      <c r="L774" s="3">
        <v>7.6200000000000004E-2</v>
      </c>
      <c r="M774" t="s">
        <v>29</v>
      </c>
      <c r="N774" t="s">
        <v>30</v>
      </c>
      <c r="O774">
        <v>0</v>
      </c>
      <c r="P774" s="1">
        <v>46022</v>
      </c>
      <c r="R774" s="7"/>
      <c r="S774" s="7"/>
    </row>
    <row r="775" spans="1:19" x14ac:dyDescent="0.3">
      <c r="A775" t="s">
        <v>823</v>
      </c>
      <c r="B775" t="s">
        <v>24</v>
      </c>
      <c r="C775" t="s">
        <v>32</v>
      </c>
      <c r="D775" s="5">
        <v>19022</v>
      </c>
      <c r="E775">
        <v>11877.85</v>
      </c>
      <c r="F775" t="s">
        <v>33</v>
      </c>
      <c r="G775">
        <v>318</v>
      </c>
      <c r="H775" s="1">
        <f t="shared" si="12"/>
        <v>53327</v>
      </c>
      <c r="I775" t="s">
        <v>15</v>
      </c>
      <c r="J775" s="1">
        <v>43636</v>
      </c>
      <c r="K775" t="s">
        <v>39</v>
      </c>
      <c r="L775" s="3">
        <v>6.5299999999999997E-2</v>
      </c>
      <c r="M775" t="s">
        <v>29</v>
      </c>
      <c r="N775" t="s">
        <v>30</v>
      </c>
      <c r="O775">
        <v>0</v>
      </c>
      <c r="P775" s="1">
        <v>46022</v>
      </c>
      <c r="R775" s="7"/>
      <c r="S775" s="7"/>
    </row>
    <row r="776" spans="1:19" x14ac:dyDescent="0.3">
      <c r="A776" t="s">
        <v>824</v>
      </c>
      <c r="B776" t="s">
        <v>24</v>
      </c>
      <c r="C776" t="s">
        <v>25</v>
      </c>
      <c r="D776" s="5">
        <v>152283</v>
      </c>
      <c r="E776">
        <v>126581.46</v>
      </c>
      <c r="F776" t="s">
        <v>14</v>
      </c>
      <c r="G776">
        <v>60</v>
      </c>
      <c r="H776" s="1">
        <f t="shared" si="12"/>
        <v>44957</v>
      </c>
      <c r="I776" t="s">
        <v>15</v>
      </c>
      <c r="J776" s="1">
        <v>43121</v>
      </c>
      <c r="K776" t="s">
        <v>22</v>
      </c>
      <c r="L776" s="3">
        <v>4.4800000000000006E-2</v>
      </c>
      <c r="M776" t="s">
        <v>17</v>
      </c>
      <c r="N776" t="s">
        <v>26</v>
      </c>
      <c r="O776">
        <v>193175.28</v>
      </c>
      <c r="P776" s="1">
        <v>46022</v>
      </c>
      <c r="R776" s="7"/>
      <c r="S776" s="7"/>
    </row>
    <row r="777" spans="1:19" x14ac:dyDescent="0.3">
      <c r="A777" t="s">
        <v>825</v>
      </c>
      <c r="B777" t="s">
        <v>24</v>
      </c>
      <c r="C777" t="s">
        <v>28</v>
      </c>
      <c r="D777" s="5">
        <v>6464</v>
      </c>
      <c r="E777">
        <v>2548.4499999999998</v>
      </c>
      <c r="F777" t="s">
        <v>14</v>
      </c>
      <c r="G777">
        <v>294</v>
      </c>
      <c r="H777" s="1">
        <f t="shared" si="12"/>
        <v>54057</v>
      </c>
      <c r="I777" t="s">
        <v>15</v>
      </c>
      <c r="J777" s="1">
        <v>45096</v>
      </c>
      <c r="K777" t="s">
        <v>16</v>
      </c>
      <c r="L777" s="3">
        <v>0.1244</v>
      </c>
      <c r="M777" t="s">
        <v>29</v>
      </c>
      <c r="N777" t="s">
        <v>30</v>
      </c>
      <c r="O777">
        <v>0</v>
      </c>
      <c r="P777" s="1">
        <v>46022</v>
      </c>
      <c r="R777" s="7"/>
      <c r="S777" s="7"/>
    </row>
    <row r="778" spans="1:19" x14ac:dyDescent="0.3">
      <c r="A778" t="s">
        <v>826</v>
      </c>
      <c r="B778" t="s">
        <v>12</v>
      </c>
      <c r="C778" t="s">
        <v>63</v>
      </c>
      <c r="D778" s="5">
        <v>26277233</v>
      </c>
      <c r="E778">
        <v>9858418.0700000003</v>
      </c>
      <c r="F778" t="s">
        <v>48</v>
      </c>
      <c r="G778">
        <v>156</v>
      </c>
      <c r="H778" s="1">
        <f t="shared" si="12"/>
        <v>49399</v>
      </c>
      <c r="I778" t="s">
        <v>15</v>
      </c>
      <c r="J778" s="1">
        <v>44642</v>
      </c>
      <c r="K778" t="s">
        <v>16</v>
      </c>
      <c r="L778" s="3">
        <v>0.1016</v>
      </c>
      <c r="M778" t="s">
        <v>17</v>
      </c>
      <c r="N778" t="s">
        <v>18</v>
      </c>
      <c r="O778">
        <v>39035350.780000001</v>
      </c>
      <c r="P778" s="1">
        <v>46022</v>
      </c>
      <c r="R778" s="7"/>
      <c r="S778" s="7"/>
    </row>
    <row r="779" spans="1:19" x14ac:dyDescent="0.3">
      <c r="A779" t="s">
        <v>827</v>
      </c>
      <c r="B779" t="s">
        <v>37</v>
      </c>
      <c r="C779" t="s">
        <v>78</v>
      </c>
      <c r="D779" s="5">
        <v>141120412</v>
      </c>
      <c r="E779">
        <v>65258784.530000001</v>
      </c>
      <c r="F779" t="s">
        <v>33</v>
      </c>
      <c r="G779">
        <v>36</v>
      </c>
      <c r="H779" s="1">
        <f t="shared" si="12"/>
        <v>45107</v>
      </c>
      <c r="I779" t="s">
        <v>15</v>
      </c>
      <c r="J779" s="1">
        <v>43996</v>
      </c>
      <c r="K779" t="s">
        <v>22</v>
      </c>
      <c r="L779" s="3">
        <v>4.0099999999999997E-2</v>
      </c>
      <c r="M779" t="s">
        <v>29</v>
      </c>
      <c r="N779" t="s">
        <v>30</v>
      </c>
      <c r="O779">
        <v>0</v>
      </c>
      <c r="P779" s="1">
        <v>46022</v>
      </c>
      <c r="R779" s="7"/>
      <c r="S779" s="7"/>
    </row>
    <row r="780" spans="1:19" x14ac:dyDescent="0.3">
      <c r="A780" t="s">
        <v>828</v>
      </c>
      <c r="B780" t="s">
        <v>37</v>
      </c>
      <c r="C780" t="s">
        <v>144</v>
      </c>
      <c r="D780" s="5">
        <v>419385311</v>
      </c>
      <c r="E780">
        <v>295774231.60000002</v>
      </c>
      <c r="F780" t="s">
        <v>48</v>
      </c>
      <c r="G780">
        <v>132</v>
      </c>
      <c r="H780" s="1">
        <f t="shared" si="12"/>
        <v>46053</v>
      </c>
      <c r="I780" t="s">
        <v>15</v>
      </c>
      <c r="J780" s="1">
        <v>42033</v>
      </c>
      <c r="K780" t="s">
        <v>22</v>
      </c>
      <c r="L780" s="3">
        <v>4.4400000000000002E-2</v>
      </c>
      <c r="M780" t="s">
        <v>29</v>
      </c>
      <c r="N780" t="s">
        <v>30</v>
      </c>
      <c r="O780">
        <v>0</v>
      </c>
      <c r="P780" s="1">
        <v>46022</v>
      </c>
      <c r="R780" s="7"/>
      <c r="S780" s="7"/>
    </row>
    <row r="781" spans="1:19" x14ac:dyDescent="0.3">
      <c r="A781" t="s">
        <v>829</v>
      </c>
      <c r="B781" t="s">
        <v>24</v>
      </c>
      <c r="C781" t="s">
        <v>32</v>
      </c>
      <c r="D781" s="5">
        <v>1720</v>
      </c>
      <c r="E781">
        <v>1228.02</v>
      </c>
      <c r="F781" t="s">
        <v>33</v>
      </c>
      <c r="G781">
        <v>90</v>
      </c>
      <c r="H781" s="1">
        <f t="shared" si="12"/>
        <v>47817</v>
      </c>
      <c r="I781" t="s">
        <v>15</v>
      </c>
      <c r="J781" s="1">
        <v>45064</v>
      </c>
      <c r="K781" t="s">
        <v>56</v>
      </c>
      <c r="L781" s="3">
        <v>6.3099999999999989E-2</v>
      </c>
      <c r="M781" t="s">
        <v>29</v>
      </c>
      <c r="N781" t="s">
        <v>30</v>
      </c>
      <c r="O781">
        <v>0</v>
      </c>
      <c r="P781" s="1">
        <v>46022</v>
      </c>
      <c r="R781" s="7"/>
      <c r="S781" s="7"/>
    </row>
    <row r="782" spans="1:19" x14ac:dyDescent="0.3">
      <c r="A782" t="s">
        <v>830</v>
      </c>
      <c r="B782" t="s">
        <v>24</v>
      </c>
      <c r="C782" t="s">
        <v>32</v>
      </c>
      <c r="D782" s="5">
        <v>19576</v>
      </c>
      <c r="E782">
        <v>7511.46</v>
      </c>
      <c r="F782" t="s">
        <v>33</v>
      </c>
      <c r="G782">
        <v>78</v>
      </c>
      <c r="H782" s="1">
        <f t="shared" si="12"/>
        <v>47817</v>
      </c>
      <c r="I782" t="s">
        <v>15</v>
      </c>
      <c r="J782" s="1">
        <v>45418</v>
      </c>
      <c r="K782" t="s">
        <v>35</v>
      </c>
      <c r="L782" s="3">
        <v>0.04</v>
      </c>
      <c r="M782" t="s">
        <v>29</v>
      </c>
      <c r="N782" t="s">
        <v>30</v>
      </c>
      <c r="O782">
        <v>0</v>
      </c>
      <c r="P782" s="1">
        <v>46022</v>
      </c>
      <c r="R782" s="7"/>
      <c r="S782" s="7"/>
    </row>
    <row r="783" spans="1:19" x14ac:dyDescent="0.3">
      <c r="A783" t="s">
        <v>831</v>
      </c>
      <c r="B783" t="s">
        <v>24</v>
      </c>
      <c r="C783" t="s">
        <v>32</v>
      </c>
      <c r="D783" s="5">
        <v>17530</v>
      </c>
      <c r="E783">
        <v>3854.64</v>
      </c>
      <c r="F783" t="s">
        <v>33</v>
      </c>
      <c r="G783">
        <v>168</v>
      </c>
      <c r="H783" s="1">
        <f t="shared" si="12"/>
        <v>50770</v>
      </c>
      <c r="I783" t="s">
        <v>15</v>
      </c>
      <c r="J783" s="1">
        <v>45645</v>
      </c>
      <c r="K783" t="s">
        <v>22</v>
      </c>
      <c r="L783" s="3">
        <v>7.2700000000000001E-2</v>
      </c>
      <c r="M783" t="s">
        <v>29</v>
      </c>
      <c r="N783" t="s">
        <v>30</v>
      </c>
      <c r="O783">
        <v>0</v>
      </c>
      <c r="P783" s="1">
        <v>46022</v>
      </c>
      <c r="R783" s="7"/>
      <c r="S783" s="7"/>
    </row>
    <row r="784" spans="1:19" x14ac:dyDescent="0.3">
      <c r="A784" t="s">
        <v>832</v>
      </c>
      <c r="B784" t="s">
        <v>24</v>
      </c>
      <c r="C784" t="s">
        <v>28</v>
      </c>
      <c r="D784" s="5">
        <v>1947</v>
      </c>
      <c r="E784">
        <v>1302.8800000000001</v>
      </c>
      <c r="F784" t="s">
        <v>14</v>
      </c>
      <c r="G784">
        <v>198</v>
      </c>
      <c r="H784" s="1">
        <f t="shared" si="12"/>
        <v>48060</v>
      </c>
      <c r="I784" t="s">
        <v>15</v>
      </c>
      <c r="J784" s="1">
        <v>42011</v>
      </c>
      <c r="K784" t="s">
        <v>35</v>
      </c>
      <c r="L784" s="3">
        <v>3.5400000000000001E-2</v>
      </c>
      <c r="M784" t="s">
        <v>29</v>
      </c>
      <c r="N784" t="s">
        <v>30</v>
      </c>
      <c r="O784">
        <v>0</v>
      </c>
      <c r="P784" s="1">
        <v>46022</v>
      </c>
      <c r="R784" s="7"/>
      <c r="S784" s="7"/>
    </row>
    <row r="785" spans="1:19" x14ac:dyDescent="0.3">
      <c r="A785" t="s">
        <v>833</v>
      </c>
      <c r="B785" t="s">
        <v>24</v>
      </c>
      <c r="C785" t="s">
        <v>25</v>
      </c>
      <c r="D785" s="5">
        <v>211932</v>
      </c>
      <c r="E785">
        <v>45669.83</v>
      </c>
      <c r="F785" t="s">
        <v>14</v>
      </c>
      <c r="G785">
        <v>258</v>
      </c>
      <c r="H785" s="1">
        <f t="shared" si="12"/>
        <v>52809</v>
      </c>
      <c r="I785" t="s">
        <v>15</v>
      </c>
      <c r="J785" s="1">
        <v>44938</v>
      </c>
      <c r="K785" t="s">
        <v>16</v>
      </c>
      <c r="L785" s="3">
        <v>0.1222</v>
      </c>
      <c r="M785" t="s">
        <v>17</v>
      </c>
      <c r="N785" t="s">
        <v>26</v>
      </c>
      <c r="O785">
        <v>265865.64</v>
      </c>
      <c r="P785" s="1">
        <v>46022</v>
      </c>
      <c r="R785" s="7"/>
      <c r="S785" s="7"/>
    </row>
    <row r="786" spans="1:19" x14ac:dyDescent="0.3">
      <c r="A786" t="s">
        <v>834</v>
      </c>
      <c r="B786" t="s">
        <v>37</v>
      </c>
      <c r="C786" t="s">
        <v>92</v>
      </c>
      <c r="D786" s="5">
        <v>212684911</v>
      </c>
      <c r="E786">
        <v>132001455.8</v>
      </c>
      <c r="F786" t="s">
        <v>14</v>
      </c>
      <c r="G786">
        <v>138</v>
      </c>
      <c r="H786" s="1">
        <f t="shared" si="12"/>
        <v>49368</v>
      </c>
      <c r="I786" t="s">
        <v>15</v>
      </c>
      <c r="J786" s="1">
        <v>45166</v>
      </c>
      <c r="K786" t="s">
        <v>35</v>
      </c>
      <c r="L786" s="3">
        <v>6.3899999999999998E-2</v>
      </c>
      <c r="M786" t="s">
        <v>17</v>
      </c>
      <c r="N786" t="s">
        <v>26</v>
      </c>
      <c r="O786">
        <v>366382175.19999999</v>
      </c>
      <c r="P786" s="1">
        <v>46022</v>
      </c>
      <c r="R786" s="7"/>
      <c r="S786" s="7"/>
    </row>
    <row r="787" spans="1:19" x14ac:dyDescent="0.3">
      <c r="A787" t="s">
        <v>835</v>
      </c>
      <c r="B787" t="s">
        <v>24</v>
      </c>
      <c r="C787" t="s">
        <v>41</v>
      </c>
      <c r="D787" s="5">
        <v>54358</v>
      </c>
      <c r="E787">
        <v>39359.4</v>
      </c>
      <c r="F787" t="s">
        <v>14</v>
      </c>
      <c r="G787">
        <v>198</v>
      </c>
      <c r="H787" s="1">
        <f t="shared" si="12"/>
        <v>51591</v>
      </c>
      <c r="I787" t="s">
        <v>15</v>
      </c>
      <c r="J787" s="1">
        <v>45537</v>
      </c>
      <c r="K787" t="s">
        <v>22</v>
      </c>
      <c r="L787" s="3">
        <v>6.7099999999999993E-2</v>
      </c>
      <c r="M787" t="s">
        <v>17</v>
      </c>
      <c r="N787" t="s">
        <v>42</v>
      </c>
      <c r="O787">
        <v>67850.22</v>
      </c>
      <c r="P787" s="1">
        <v>46022</v>
      </c>
      <c r="R787" s="7"/>
      <c r="S787" s="7"/>
    </row>
    <row r="788" spans="1:19" x14ac:dyDescent="0.3">
      <c r="A788" t="s">
        <v>836</v>
      </c>
      <c r="B788" t="s">
        <v>37</v>
      </c>
      <c r="C788" t="s">
        <v>38</v>
      </c>
      <c r="D788" s="5">
        <v>208101976</v>
      </c>
      <c r="E788">
        <v>152028970.80000001</v>
      </c>
      <c r="F788" t="s">
        <v>48</v>
      </c>
      <c r="G788">
        <v>258</v>
      </c>
      <c r="H788" s="1">
        <f t="shared" si="12"/>
        <v>48091</v>
      </c>
      <c r="I788" t="s">
        <v>15</v>
      </c>
      <c r="J788" s="1">
        <v>40213</v>
      </c>
      <c r="K788" t="s">
        <v>39</v>
      </c>
      <c r="L788" s="3">
        <v>7.8299999999999995E-2</v>
      </c>
      <c r="M788" t="s">
        <v>17</v>
      </c>
      <c r="N788" t="s">
        <v>18</v>
      </c>
      <c r="O788">
        <v>345183797.60000002</v>
      </c>
      <c r="P788" s="1">
        <v>46022</v>
      </c>
      <c r="R788" s="7"/>
      <c r="S788" s="7"/>
    </row>
    <row r="789" spans="1:19" x14ac:dyDescent="0.3">
      <c r="A789" t="s">
        <v>837</v>
      </c>
      <c r="B789" t="s">
        <v>12</v>
      </c>
      <c r="C789" t="s">
        <v>13</v>
      </c>
      <c r="D789" s="5">
        <v>27015946</v>
      </c>
      <c r="E789">
        <v>21021780.460000001</v>
      </c>
      <c r="F789" t="s">
        <v>33</v>
      </c>
      <c r="G789">
        <v>108</v>
      </c>
      <c r="H789" s="1">
        <f t="shared" si="12"/>
        <v>47726</v>
      </c>
      <c r="I789" t="s">
        <v>15</v>
      </c>
      <c r="J789" s="1">
        <v>44431</v>
      </c>
      <c r="K789" t="s">
        <v>39</v>
      </c>
      <c r="L789" s="3">
        <v>6.3799999999999996E-2</v>
      </c>
      <c r="M789" t="s">
        <v>29</v>
      </c>
      <c r="N789" t="s">
        <v>30</v>
      </c>
      <c r="O789">
        <v>0</v>
      </c>
      <c r="P789" s="1">
        <v>46022</v>
      </c>
      <c r="R789" s="7"/>
      <c r="S789" s="7"/>
    </row>
    <row r="790" spans="1:19" x14ac:dyDescent="0.3">
      <c r="A790" t="s">
        <v>838</v>
      </c>
      <c r="B790" t="s">
        <v>24</v>
      </c>
      <c r="C790" t="s">
        <v>41</v>
      </c>
      <c r="D790" s="5">
        <v>63562</v>
      </c>
      <c r="E790">
        <v>56288.69</v>
      </c>
      <c r="F790" t="s">
        <v>14</v>
      </c>
      <c r="G790">
        <v>300</v>
      </c>
      <c r="H790" s="1">
        <f t="shared" si="12"/>
        <v>51986</v>
      </c>
      <c r="I790" t="s">
        <v>15</v>
      </c>
      <c r="J790" s="1">
        <v>42849</v>
      </c>
      <c r="K790" t="s">
        <v>22</v>
      </c>
      <c r="L790" s="3">
        <v>4.6100000000000002E-2</v>
      </c>
      <c r="M790" t="s">
        <v>17</v>
      </c>
      <c r="N790" t="s">
        <v>42</v>
      </c>
      <c r="O790">
        <v>68790.38</v>
      </c>
      <c r="P790" s="1">
        <v>46022</v>
      </c>
      <c r="R790" s="7"/>
      <c r="S790" s="7"/>
    </row>
    <row r="791" spans="1:19" x14ac:dyDescent="0.3">
      <c r="A791" t="s">
        <v>839</v>
      </c>
      <c r="B791" t="s">
        <v>24</v>
      </c>
      <c r="C791" t="s">
        <v>25</v>
      </c>
      <c r="D791" s="5">
        <v>108931</v>
      </c>
      <c r="E791">
        <v>59908.27</v>
      </c>
      <c r="F791" t="s">
        <v>14</v>
      </c>
      <c r="G791">
        <v>318</v>
      </c>
      <c r="H791" s="1">
        <f t="shared" si="12"/>
        <v>50313</v>
      </c>
      <c r="I791" t="s">
        <v>15</v>
      </c>
      <c r="J791" s="1">
        <v>40617</v>
      </c>
      <c r="K791" t="s">
        <v>16</v>
      </c>
      <c r="L791" s="3">
        <v>0.10060000000000001</v>
      </c>
      <c r="M791" t="s">
        <v>17</v>
      </c>
      <c r="N791" t="s">
        <v>26</v>
      </c>
      <c r="O791">
        <v>139594.45000000001</v>
      </c>
      <c r="P791" s="1">
        <v>46022</v>
      </c>
      <c r="R791" s="7"/>
      <c r="S791" s="7"/>
    </row>
    <row r="792" spans="1:19" x14ac:dyDescent="0.3">
      <c r="A792" t="s">
        <v>840</v>
      </c>
      <c r="B792" t="s">
        <v>24</v>
      </c>
      <c r="C792" t="s">
        <v>28</v>
      </c>
      <c r="D792" s="5">
        <v>23741</v>
      </c>
      <c r="E792">
        <v>17977</v>
      </c>
      <c r="F792" t="s">
        <v>48</v>
      </c>
      <c r="G792">
        <v>180</v>
      </c>
      <c r="H792" s="1">
        <f t="shared" si="12"/>
        <v>47787</v>
      </c>
      <c r="I792" t="s">
        <v>15</v>
      </c>
      <c r="J792" s="1">
        <v>42278</v>
      </c>
      <c r="K792" t="s">
        <v>22</v>
      </c>
      <c r="L792" s="3">
        <v>4.7699999999999992E-2</v>
      </c>
      <c r="M792" t="s">
        <v>29</v>
      </c>
      <c r="N792" t="s">
        <v>30</v>
      </c>
      <c r="O792">
        <v>0</v>
      </c>
      <c r="P792" s="1">
        <v>46022</v>
      </c>
      <c r="R792" s="7"/>
      <c r="S792" s="7"/>
    </row>
    <row r="793" spans="1:19" x14ac:dyDescent="0.3">
      <c r="A793" t="s">
        <v>841</v>
      </c>
      <c r="B793" t="s">
        <v>12</v>
      </c>
      <c r="C793" t="s">
        <v>61</v>
      </c>
      <c r="D793" s="5">
        <v>48211463</v>
      </c>
      <c r="E793">
        <v>31687247.25</v>
      </c>
      <c r="F793" t="s">
        <v>33</v>
      </c>
      <c r="G793">
        <v>156</v>
      </c>
      <c r="H793" s="1">
        <f t="shared" si="12"/>
        <v>46691</v>
      </c>
      <c r="I793" t="s">
        <v>15</v>
      </c>
      <c r="J793" s="1">
        <v>41920</v>
      </c>
      <c r="K793" t="s">
        <v>22</v>
      </c>
      <c r="L793" s="3">
        <v>5.04E-2</v>
      </c>
      <c r="M793" t="s">
        <v>29</v>
      </c>
      <c r="N793" t="s">
        <v>30</v>
      </c>
      <c r="O793">
        <v>0</v>
      </c>
      <c r="P793" s="1">
        <v>46022</v>
      </c>
      <c r="R793" s="7"/>
      <c r="S793" s="7"/>
    </row>
    <row r="794" spans="1:19" x14ac:dyDescent="0.3">
      <c r="A794" t="s">
        <v>842</v>
      </c>
      <c r="B794" t="s">
        <v>37</v>
      </c>
      <c r="C794" t="s">
        <v>92</v>
      </c>
      <c r="D794" s="5">
        <v>264325817</v>
      </c>
      <c r="E794">
        <v>70832960.879999995</v>
      </c>
      <c r="F794" t="s">
        <v>33</v>
      </c>
      <c r="G794">
        <v>96</v>
      </c>
      <c r="H794" s="1">
        <f t="shared" si="12"/>
        <v>48579</v>
      </c>
      <c r="I794" t="s">
        <v>15</v>
      </c>
      <c r="J794" s="1">
        <v>45645</v>
      </c>
      <c r="K794" t="s">
        <v>56</v>
      </c>
      <c r="L794" s="3">
        <v>5.8400000000000001E-2</v>
      </c>
      <c r="M794" t="s">
        <v>29</v>
      </c>
      <c r="N794" t="s">
        <v>30</v>
      </c>
      <c r="O794">
        <v>0</v>
      </c>
      <c r="P794" s="1">
        <v>46022</v>
      </c>
      <c r="R794" s="7"/>
      <c r="S794" s="7"/>
    </row>
    <row r="795" spans="1:19" x14ac:dyDescent="0.3">
      <c r="A795" t="s">
        <v>843</v>
      </c>
      <c r="B795" t="s">
        <v>12</v>
      </c>
      <c r="C795" t="s">
        <v>61</v>
      </c>
      <c r="D795" s="5">
        <v>34199571</v>
      </c>
      <c r="E795">
        <v>4210674.46</v>
      </c>
      <c r="F795" t="s">
        <v>48</v>
      </c>
      <c r="G795">
        <v>78</v>
      </c>
      <c r="H795" s="1">
        <f t="shared" si="12"/>
        <v>47938</v>
      </c>
      <c r="I795" t="s">
        <v>15</v>
      </c>
      <c r="J795" s="1">
        <v>45539</v>
      </c>
      <c r="K795" t="s">
        <v>22</v>
      </c>
      <c r="L795" s="3">
        <v>7.2599999999999998E-2</v>
      </c>
      <c r="M795" t="s">
        <v>17</v>
      </c>
      <c r="N795" t="s">
        <v>54</v>
      </c>
      <c r="O795">
        <v>45546036</v>
      </c>
      <c r="P795" s="1">
        <v>46022</v>
      </c>
      <c r="R795" s="7"/>
      <c r="S795" s="7"/>
    </row>
    <row r="796" spans="1:19" x14ac:dyDescent="0.3">
      <c r="A796" t="s">
        <v>844</v>
      </c>
      <c r="B796" t="s">
        <v>24</v>
      </c>
      <c r="C796" t="s">
        <v>41</v>
      </c>
      <c r="D796" s="5">
        <v>38068</v>
      </c>
      <c r="E796">
        <v>13555.44</v>
      </c>
      <c r="F796" t="s">
        <v>14</v>
      </c>
      <c r="G796">
        <v>234</v>
      </c>
      <c r="H796" s="1">
        <f t="shared" si="12"/>
        <v>51166</v>
      </c>
      <c r="I796" t="s">
        <v>15</v>
      </c>
      <c r="J796" s="1">
        <v>44018</v>
      </c>
      <c r="K796" t="s">
        <v>39</v>
      </c>
      <c r="L796" s="3">
        <v>4.8600000000000004E-2</v>
      </c>
      <c r="M796" t="s">
        <v>17</v>
      </c>
      <c r="N796" t="s">
        <v>42</v>
      </c>
      <c r="O796">
        <v>41423.769999999997</v>
      </c>
      <c r="P796" s="1">
        <v>46022</v>
      </c>
      <c r="R796" s="7"/>
      <c r="S796" s="7"/>
    </row>
    <row r="797" spans="1:19" x14ac:dyDescent="0.3">
      <c r="A797" t="s">
        <v>845</v>
      </c>
      <c r="B797" t="s">
        <v>20</v>
      </c>
      <c r="C797" t="s">
        <v>47</v>
      </c>
      <c r="D797" s="5">
        <v>3881257</v>
      </c>
      <c r="E797">
        <v>1935700.77</v>
      </c>
      <c r="F797" t="s">
        <v>33</v>
      </c>
      <c r="G797">
        <v>198</v>
      </c>
      <c r="H797" s="1">
        <f t="shared" si="12"/>
        <v>49734</v>
      </c>
      <c r="I797" t="s">
        <v>15</v>
      </c>
      <c r="J797" s="1">
        <v>43697</v>
      </c>
      <c r="K797" t="s">
        <v>39</v>
      </c>
      <c r="L797" s="3">
        <v>7.0999999999999994E-2</v>
      </c>
      <c r="M797" t="s">
        <v>29</v>
      </c>
      <c r="N797" t="s">
        <v>30</v>
      </c>
      <c r="O797">
        <v>0</v>
      </c>
      <c r="P797" s="1">
        <v>46022</v>
      </c>
      <c r="R797" s="7"/>
      <c r="S797" s="7"/>
    </row>
    <row r="798" spans="1:19" x14ac:dyDescent="0.3">
      <c r="A798" t="s">
        <v>846</v>
      </c>
      <c r="B798" t="s">
        <v>37</v>
      </c>
      <c r="C798" t="s">
        <v>92</v>
      </c>
      <c r="D798" s="5">
        <v>388731526</v>
      </c>
      <c r="E798">
        <v>254772834.59999999</v>
      </c>
      <c r="F798" t="s">
        <v>14</v>
      </c>
      <c r="G798">
        <v>156</v>
      </c>
      <c r="H798" s="1">
        <f t="shared" si="12"/>
        <v>50040</v>
      </c>
      <c r="I798" t="s">
        <v>15</v>
      </c>
      <c r="J798" s="1">
        <v>45286</v>
      </c>
      <c r="K798" t="s">
        <v>39</v>
      </c>
      <c r="L798" s="3">
        <v>9.7500000000000003E-2</v>
      </c>
      <c r="M798" t="s">
        <v>29</v>
      </c>
      <c r="N798" t="s">
        <v>30</v>
      </c>
      <c r="O798">
        <v>0</v>
      </c>
      <c r="P798" s="1">
        <v>46022</v>
      </c>
      <c r="R798" s="7"/>
      <c r="S798" s="7"/>
    </row>
    <row r="799" spans="1:19" x14ac:dyDescent="0.3">
      <c r="A799" t="s">
        <v>847</v>
      </c>
      <c r="B799" t="s">
        <v>20</v>
      </c>
      <c r="C799" t="s">
        <v>47</v>
      </c>
      <c r="D799" s="5">
        <v>2630415</v>
      </c>
      <c r="E799">
        <v>2275213.08</v>
      </c>
      <c r="F799" t="s">
        <v>48</v>
      </c>
      <c r="G799">
        <v>288</v>
      </c>
      <c r="H799" s="1">
        <f t="shared" si="12"/>
        <v>49948</v>
      </c>
      <c r="I799" t="s">
        <v>15</v>
      </c>
      <c r="J799" s="1">
        <v>41173</v>
      </c>
      <c r="K799" t="s">
        <v>22</v>
      </c>
      <c r="L799" s="3">
        <v>4.6600000000000003E-2</v>
      </c>
      <c r="M799" t="s">
        <v>17</v>
      </c>
      <c r="N799" t="s">
        <v>26</v>
      </c>
      <c r="O799">
        <v>4895163.62</v>
      </c>
      <c r="P799" s="1">
        <v>46022</v>
      </c>
      <c r="R799" s="7"/>
      <c r="S799" s="7"/>
    </row>
    <row r="800" spans="1:19" x14ac:dyDescent="0.3">
      <c r="A800" t="s">
        <v>848</v>
      </c>
      <c r="B800" t="s">
        <v>24</v>
      </c>
      <c r="C800" t="s">
        <v>28</v>
      </c>
      <c r="D800" s="5">
        <v>48825</v>
      </c>
      <c r="E800">
        <v>13505.94</v>
      </c>
      <c r="F800" t="s">
        <v>33</v>
      </c>
      <c r="G800">
        <v>6</v>
      </c>
      <c r="H800" s="1">
        <f t="shared" si="12"/>
        <v>45230</v>
      </c>
      <c r="I800" t="s">
        <v>70</v>
      </c>
      <c r="J800" s="1">
        <v>45025</v>
      </c>
      <c r="K800" t="s">
        <v>35</v>
      </c>
      <c r="L800" s="3">
        <v>3.7499999999999999E-2</v>
      </c>
      <c r="M800" t="s">
        <v>29</v>
      </c>
      <c r="N800" t="s">
        <v>30</v>
      </c>
      <c r="O800">
        <v>0</v>
      </c>
      <c r="P800" s="1">
        <v>46022</v>
      </c>
      <c r="R800" s="7"/>
      <c r="S800" s="7"/>
    </row>
    <row r="801" spans="1:19" x14ac:dyDescent="0.3">
      <c r="A801" t="s">
        <v>849</v>
      </c>
      <c r="B801" t="s">
        <v>24</v>
      </c>
      <c r="C801" t="s">
        <v>32</v>
      </c>
      <c r="D801" s="5">
        <v>7152</v>
      </c>
      <c r="E801">
        <v>1523.33</v>
      </c>
      <c r="F801" t="s">
        <v>33</v>
      </c>
      <c r="G801">
        <v>294</v>
      </c>
      <c r="H801" s="1">
        <f t="shared" si="12"/>
        <v>49734</v>
      </c>
      <c r="I801" t="s">
        <v>15</v>
      </c>
      <c r="J801" s="1">
        <v>40773</v>
      </c>
      <c r="K801" t="s">
        <v>81</v>
      </c>
      <c r="L801" s="3">
        <v>3.9599999999999996E-2</v>
      </c>
      <c r="M801" t="s">
        <v>29</v>
      </c>
      <c r="N801" t="s">
        <v>30</v>
      </c>
      <c r="O801">
        <v>0</v>
      </c>
      <c r="P801" s="1">
        <v>46022</v>
      </c>
      <c r="R801" s="7"/>
      <c r="S801" s="7"/>
    </row>
    <row r="802" spans="1:19" x14ac:dyDescent="0.3">
      <c r="A802" t="s">
        <v>850</v>
      </c>
      <c r="B802" t="s">
        <v>20</v>
      </c>
      <c r="C802" t="s">
        <v>89</v>
      </c>
      <c r="D802" s="5">
        <v>133891</v>
      </c>
      <c r="E802">
        <v>129490.21</v>
      </c>
      <c r="F802" t="s">
        <v>14</v>
      </c>
      <c r="G802">
        <v>228</v>
      </c>
      <c r="H802" s="1">
        <f t="shared" si="12"/>
        <v>49643</v>
      </c>
      <c r="I802" t="s">
        <v>15</v>
      </c>
      <c r="J802" s="1">
        <v>42690</v>
      </c>
      <c r="K802" t="s">
        <v>22</v>
      </c>
      <c r="L802" s="3">
        <v>3.9100000000000003E-2</v>
      </c>
      <c r="M802" t="s">
        <v>17</v>
      </c>
      <c r="N802" t="s">
        <v>26</v>
      </c>
      <c r="O802">
        <v>190734.06</v>
      </c>
      <c r="P802" s="1">
        <v>46022</v>
      </c>
      <c r="R802" s="7"/>
      <c r="S802" s="7"/>
    </row>
    <row r="803" spans="1:19" x14ac:dyDescent="0.3">
      <c r="A803" t="s">
        <v>851</v>
      </c>
      <c r="B803" t="s">
        <v>24</v>
      </c>
      <c r="C803" t="s">
        <v>28</v>
      </c>
      <c r="D803" s="5">
        <v>38738</v>
      </c>
      <c r="E803">
        <v>7640.64</v>
      </c>
      <c r="F803" t="s">
        <v>48</v>
      </c>
      <c r="G803">
        <v>60</v>
      </c>
      <c r="H803" s="1">
        <f t="shared" si="12"/>
        <v>47208</v>
      </c>
      <c r="I803" t="s">
        <v>15</v>
      </c>
      <c r="J803" s="1">
        <v>45358</v>
      </c>
      <c r="K803" t="s">
        <v>39</v>
      </c>
      <c r="L803" s="3">
        <v>6.4500000000000002E-2</v>
      </c>
      <c r="M803" t="s">
        <v>29</v>
      </c>
      <c r="N803" t="s">
        <v>30</v>
      </c>
      <c r="O803">
        <v>0</v>
      </c>
      <c r="P803" s="1">
        <v>46022</v>
      </c>
      <c r="R803" s="7"/>
      <c r="S803" s="7"/>
    </row>
    <row r="804" spans="1:19" x14ac:dyDescent="0.3">
      <c r="A804" t="s">
        <v>852</v>
      </c>
      <c r="B804" t="s">
        <v>37</v>
      </c>
      <c r="C804" t="s">
        <v>74</v>
      </c>
      <c r="D804" s="5">
        <v>405506213</v>
      </c>
      <c r="E804">
        <v>215178613.09999999</v>
      </c>
      <c r="F804" t="s">
        <v>14</v>
      </c>
      <c r="G804">
        <v>294</v>
      </c>
      <c r="H804" s="1">
        <f t="shared" si="12"/>
        <v>54178</v>
      </c>
      <c r="I804" t="s">
        <v>15</v>
      </c>
      <c r="J804" s="1">
        <v>45226</v>
      </c>
      <c r="K804" t="s">
        <v>39</v>
      </c>
      <c r="L804" s="3">
        <v>9.8800000000000013E-2</v>
      </c>
      <c r="M804" t="s">
        <v>17</v>
      </c>
      <c r="N804" t="s">
        <v>26</v>
      </c>
      <c r="O804">
        <v>793233961.5</v>
      </c>
      <c r="P804" s="1">
        <v>46022</v>
      </c>
      <c r="R804" s="7"/>
      <c r="S804" s="7"/>
    </row>
    <row r="805" spans="1:19" x14ac:dyDescent="0.3">
      <c r="A805" t="s">
        <v>853</v>
      </c>
      <c r="B805" t="s">
        <v>37</v>
      </c>
      <c r="C805" t="s">
        <v>144</v>
      </c>
      <c r="D805" s="5">
        <v>68901542</v>
      </c>
      <c r="E805">
        <v>43201773.840000004</v>
      </c>
      <c r="F805" t="s">
        <v>14</v>
      </c>
      <c r="G805">
        <v>60</v>
      </c>
      <c r="H805" s="1">
        <f t="shared" si="12"/>
        <v>45747</v>
      </c>
      <c r="I805" t="s">
        <v>15</v>
      </c>
      <c r="J805" s="1">
        <v>43909</v>
      </c>
      <c r="K805" t="s">
        <v>22</v>
      </c>
      <c r="L805" s="3">
        <v>0.03</v>
      </c>
      <c r="M805" t="s">
        <v>29</v>
      </c>
      <c r="N805" t="s">
        <v>30</v>
      </c>
      <c r="O805">
        <v>0</v>
      </c>
      <c r="P805" s="1">
        <v>46022</v>
      </c>
      <c r="R805" s="7"/>
      <c r="S805" s="7"/>
    </row>
    <row r="806" spans="1:19" x14ac:dyDescent="0.3">
      <c r="A806" t="s">
        <v>854</v>
      </c>
      <c r="B806" t="s">
        <v>24</v>
      </c>
      <c r="C806" t="s">
        <v>41</v>
      </c>
      <c r="D806" s="5">
        <v>33902</v>
      </c>
      <c r="E806">
        <v>19908.77</v>
      </c>
      <c r="F806" t="s">
        <v>14</v>
      </c>
      <c r="G806">
        <v>276</v>
      </c>
      <c r="H806" s="1">
        <f t="shared" si="12"/>
        <v>49918</v>
      </c>
      <c r="I806" t="s">
        <v>15</v>
      </c>
      <c r="J806" s="1">
        <v>41515</v>
      </c>
      <c r="K806" t="s">
        <v>22</v>
      </c>
      <c r="L806" s="3">
        <v>4.3799999999999999E-2</v>
      </c>
      <c r="M806" t="s">
        <v>17</v>
      </c>
      <c r="N806" t="s">
        <v>42</v>
      </c>
      <c r="O806">
        <v>36974.1</v>
      </c>
      <c r="P806" s="1">
        <v>46022</v>
      </c>
      <c r="R806" s="7"/>
      <c r="S806" s="7"/>
    </row>
    <row r="807" spans="1:19" x14ac:dyDescent="0.3">
      <c r="A807" t="s">
        <v>855</v>
      </c>
      <c r="B807" t="s">
        <v>24</v>
      </c>
      <c r="C807" t="s">
        <v>41</v>
      </c>
      <c r="D807" s="5">
        <v>11580</v>
      </c>
      <c r="E807">
        <v>2054.58</v>
      </c>
      <c r="F807" t="s">
        <v>14</v>
      </c>
      <c r="G807">
        <v>300</v>
      </c>
      <c r="H807" s="1">
        <f t="shared" si="12"/>
        <v>51013</v>
      </c>
      <c r="I807" t="s">
        <v>15</v>
      </c>
      <c r="J807" s="1">
        <v>41857</v>
      </c>
      <c r="K807" t="s">
        <v>22</v>
      </c>
      <c r="L807" s="3">
        <v>5.2900000000000003E-2</v>
      </c>
      <c r="M807" t="s">
        <v>17</v>
      </c>
      <c r="N807" t="s">
        <v>42</v>
      </c>
      <c r="O807">
        <v>13096.72</v>
      </c>
      <c r="P807" s="1">
        <v>46022</v>
      </c>
      <c r="R807" s="7"/>
      <c r="S807" s="7"/>
    </row>
    <row r="808" spans="1:19" x14ac:dyDescent="0.3">
      <c r="A808" t="s">
        <v>856</v>
      </c>
      <c r="B808" t="s">
        <v>24</v>
      </c>
      <c r="C808" t="s">
        <v>41</v>
      </c>
      <c r="D808" s="5">
        <v>36398</v>
      </c>
      <c r="E808">
        <v>5507.86</v>
      </c>
      <c r="F808" t="s">
        <v>14</v>
      </c>
      <c r="G808">
        <v>228</v>
      </c>
      <c r="H808" s="1">
        <f t="shared" si="12"/>
        <v>49734</v>
      </c>
      <c r="I808" t="s">
        <v>15</v>
      </c>
      <c r="J808" s="1">
        <v>42775</v>
      </c>
      <c r="K808" t="s">
        <v>22</v>
      </c>
      <c r="L808" s="3">
        <v>5.1399999999999994E-2</v>
      </c>
      <c r="M808" t="s">
        <v>17</v>
      </c>
      <c r="N808" t="s">
        <v>42</v>
      </c>
      <c r="O808">
        <v>36622.959999999999</v>
      </c>
      <c r="P808" s="1">
        <v>46022</v>
      </c>
      <c r="R808" s="7"/>
      <c r="S808" s="7"/>
    </row>
    <row r="809" spans="1:19" x14ac:dyDescent="0.3">
      <c r="A809" t="s">
        <v>857</v>
      </c>
      <c r="B809" t="s">
        <v>20</v>
      </c>
      <c r="C809" t="s">
        <v>51</v>
      </c>
      <c r="D809" s="5">
        <v>3877052</v>
      </c>
      <c r="E809">
        <v>755773.51</v>
      </c>
      <c r="F809" t="s">
        <v>14</v>
      </c>
      <c r="G809">
        <v>252</v>
      </c>
      <c r="H809" s="1">
        <f t="shared" si="12"/>
        <v>50071</v>
      </c>
      <c r="I809" t="s">
        <v>15</v>
      </c>
      <c r="J809" s="1">
        <v>42395</v>
      </c>
      <c r="K809" t="s">
        <v>35</v>
      </c>
      <c r="L809" s="3">
        <v>2.9600000000000001E-2</v>
      </c>
      <c r="M809" t="s">
        <v>29</v>
      </c>
      <c r="N809" t="s">
        <v>30</v>
      </c>
      <c r="O809">
        <v>0</v>
      </c>
      <c r="P809" s="1">
        <v>46022</v>
      </c>
      <c r="R809" s="7"/>
      <c r="S809" s="7"/>
    </row>
    <row r="810" spans="1:19" x14ac:dyDescent="0.3">
      <c r="A810" t="s">
        <v>858</v>
      </c>
      <c r="B810" t="s">
        <v>24</v>
      </c>
      <c r="C810" t="s">
        <v>25</v>
      </c>
      <c r="D810" s="5">
        <v>566164</v>
      </c>
      <c r="E810">
        <v>355001.49</v>
      </c>
      <c r="F810" t="s">
        <v>14</v>
      </c>
      <c r="G810">
        <v>144</v>
      </c>
      <c r="H810" s="1">
        <f t="shared" si="12"/>
        <v>49156</v>
      </c>
      <c r="I810" t="s">
        <v>15</v>
      </c>
      <c r="J810" s="1">
        <v>44760</v>
      </c>
      <c r="K810" t="s">
        <v>35</v>
      </c>
      <c r="L810" s="3">
        <v>4.7500000000000001E-2</v>
      </c>
      <c r="M810" t="s">
        <v>17</v>
      </c>
      <c r="N810" t="s">
        <v>26</v>
      </c>
      <c r="O810">
        <v>717831.93</v>
      </c>
      <c r="P810" s="1">
        <v>46022</v>
      </c>
      <c r="R810" s="7"/>
      <c r="S810" s="7"/>
    </row>
    <row r="811" spans="1:19" x14ac:dyDescent="0.3">
      <c r="A811" t="s">
        <v>859</v>
      </c>
      <c r="B811" t="s">
        <v>24</v>
      </c>
      <c r="C811" t="s">
        <v>28</v>
      </c>
      <c r="D811" s="5">
        <v>18057</v>
      </c>
      <c r="E811">
        <v>10651.82</v>
      </c>
      <c r="F811" t="s">
        <v>33</v>
      </c>
      <c r="G811">
        <v>108</v>
      </c>
      <c r="H811" s="1">
        <f t="shared" si="12"/>
        <v>47968</v>
      </c>
      <c r="I811" t="s">
        <v>15</v>
      </c>
      <c r="J811" s="1">
        <v>44663</v>
      </c>
      <c r="K811" t="s">
        <v>35</v>
      </c>
      <c r="L811" s="3">
        <v>3.9900000000000005E-2</v>
      </c>
      <c r="M811" t="s">
        <v>29</v>
      </c>
      <c r="N811" t="s">
        <v>30</v>
      </c>
      <c r="O811">
        <v>0</v>
      </c>
      <c r="P811" s="1">
        <v>46022</v>
      </c>
      <c r="R811" s="7"/>
      <c r="S811" s="7"/>
    </row>
    <row r="812" spans="1:19" x14ac:dyDescent="0.3">
      <c r="A812" t="s">
        <v>860</v>
      </c>
      <c r="B812" t="s">
        <v>24</v>
      </c>
      <c r="C812" t="s">
        <v>41</v>
      </c>
      <c r="D812" s="5">
        <v>43457</v>
      </c>
      <c r="E812">
        <v>13487.46</v>
      </c>
      <c r="F812" t="s">
        <v>14</v>
      </c>
      <c r="G812">
        <v>162</v>
      </c>
      <c r="H812" s="1">
        <f t="shared" si="12"/>
        <v>50464</v>
      </c>
      <c r="I812" t="s">
        <v>15</v>
      </c>
      <c r="J812" s="1">
        <v>45512</v>
      </c>
      <c r="K812" t="s">
        <v>56</v>
      </c>
      <c r="L812" s="3">
        <v>5.5199999999999999E-2</v>
      </c>
      <c r="M812" t="s">
        <v>17</v>
      </c>
      <c r="N812" t="s">
        <v>42</v>
      </c>
      <c r="O812">
        <v>44723.93</v>
      </c>
      <c r="P812" s="1">
        <v>46022</v>
      </c>
      <c r="R812" s="7"/>
      <c r="S812" s="7"/>
    </row>
    <row r="813" spans="1:19" x14ac:dyDescent="0.3">
      <c r="A813" t="s">
        <v>861</v>
      </c>
      <c r="B813" t="s">
        <v>20</v>
      </c>
      <c r="C813" t="s">
        <v>51</v>
      </c>
      <c r="D813" s="5">
        <v>56700</v>
      </c>
      <c r="E813">
        <v>38215.919999999998</v>
      </c>
      <c r="F813" t="s">
        <v>48</v>
      </c>
      <c r="G813">
        <v>246</v>
      </c>
      <c r="H813" s="1">
        <f t="shared" si="12"/>
        <v>49948</v>
      </c>
      <c r="I813" t="s">
        <v>15</v>
      </c>
      <c r="J813" s="1">
        <v>42430</v>
      </c>
      <c r="K813" t="s">
        <v>35</v>
      </c>
      <c r="L813" s="3">
        <v>3.6299999999999999E-2</v>
      </c>
      <c r="M813" t="s">
        <v>17</v>
      </c>
      <c r="N813" t="s">
        <v>26</v>
      </c>
      <c r="O813">
        <v>78990.850000000006</v>
      </c>
      <c r="P813" s="1">
        <v>46022</v>
      </c>
      <c r="R813" s="7"/>
      <c r="S813" s="7"/>
    </row>
    <row r="814" spans="1:19" x14ac:dyDescent="0.3">
      <c r="A814" t="s">
        <v>862</v>
      </c>
      <c r="B814" t="s">
        <v>24</v>
      </c>
      <c r="C814" t="s">
        <v>41</v>
      </c>
      <c r="D814" s="5">
        <v>36982</v>
      </c>
      <c r="E814">
        <v>30993.200000000001</v>
      </c>
      <c r="F814" t="s">
        <v>14</v>
      </c>
      <c r="G814">
        <v>60</v>
      </c>
      <c r="H814" s="1">
        <f t="shared" si="12"/>
        <v>47177</v>
      </c>
      <c r="I814" t="s">
        <v>15</v>
      </c>
      <c r="J814" s="1">
        <v>45333</v>
      </c>
      <c r="K814" t="s">
        <v>81</v>
      </c>
      <c r="L814" s="3">
        <v>2.52E-2</v>
      </c>
      <c r="M814" t="s">
        <v>17</v>
      </c>
      <c r="N814" t="s">
        <v>42</v>
      </c>
      <c r="O814">
        <v>39666.050000000003</v>
      </c>
      <c r="P814" s="1">
        <v>46022</v>
      </c>
      <c r="R814" s="7"/>
      <c r="S814" s="7"/>
    </row>
    <row r="815" spans="1:19" x14ac:dyDescent="0.3">
      <c r="A815" t="s">
        <v>863</v>
      </c>
      <c r="B815" t="s">
        <v>12</v>
      </c>
      <c r="C815" t="s">
        <v>63</v>
      </c>
      <c r="D815" s="5">
        <v>32676478</v>
      </c>
      <c r="E815">
        <v>4490436.42</v>
      </c>
      <c r="F815" t="s">
        <v>48</v>
      </c>
      <c r="G815">
        <v>168</v>
      </c>
      <c r="H815" s="1">
        <f t="shared" si="12"/>
        <v>48273</v>
      </c>
      <c r="I815" t="s">
        <v>15</v>
      </c>
      <c r="J815" s="1">
        <v>43137</v>
      </c>
      <c r="K815" t="s">
        <v>39</v>
      </c>
      <c r="L815" s="3">
        <v>7.0900000000000005E-2</v>
      </c>
      <c r="M815" t="s">
        <v>29</v>
      </c>
      <c r="N815" t="s">
        <v>30</v>
      </c>
      <c r="O815">
        <v>0</v>
      </c>
      <c r="P815" s="1">
        <v>46022</v>
      </c>
      <c r="R815" s="7"/>
      <c r="S815" s="7"/>
    </row>
    <row r="816" spans="1:19" x14ac:dyDescent="0.3">
      <c r="A816" t="s">
        <v>864</v>
      </c>
      <c r="B816" t="s">
        <v>24</v>
      </c>
      <c r="C816" t="s">
        <v>32</v>
      </c>
      <c r="D816" s="5">
        <v>48736</v>
      </c>
      <c r="E816">
        <v>26722.52</v>
      </c>
      <c r="F816" t="s">
        <v>33</v>
      </c>
      <c r="G816">
        <v>60</v>
      </c>
      <c r="H816" s="1">
        <f t="shared" si="12"/>
        <v>46234</v>
      </c>
      <c r="I816" t="s">
        <v>15</v>
      </c>
      <c r="J816" s="1">
        <v>44396</v>
      </c>
      <c r="K816" t="s">
        <v>22</v>
      </c>
      <c r="L816" s="3">
        <v>4.58E-2</v>
      </c>
      <c r="M816" t="s">
        <v>29</v>
      </c>
      <c r="N816" t="s">
        <v>30</v>
      </c>
      <c r="O816">
        <v>0</v>
      </c>
      <c r="P816" s="1">
        <v>46022</v>
      </c>
      <c r="R816" s="7"/>
      <c r="S816" s="7"/>
    </row>
    <row r="817" spans="1:19" x14ac:dyDescent="0.3">
      <c r="A817" t="s">
        <v>865</v>
      </c>
      <c r="B817" t="s">
        <v>12</v>
      </c>
      <c r="C817" t="s">
        <v>63</v>
      </c>
      <c r="D817" s="5">
        <v>42505981</v>
      </c>
      <c r="E817" s="4">
        <v>30620431.510000002</v>
      </c>
      <c r="F817" t="s">
        <v>33</v>
      </c>
      <c r="G817">
        <v>102</v>
      </c>
      <c r="H817" s="1">
        <f t="shared" si="12"/>
        <v>45138</v>
      </c>
      <c r="I817" t="s">
        <v>15</v>
      </c>
      <c r="J817" s="1">
        <v>42032</v>
      </c>
      <c r="K817" t="s">
        <v>35</v>
      </c>
      <c r="L817" s="3">
        <v>0.1411</v>
      </c>
      <c r="M817" t="s">
        <v>29</v>
      </c>
      <c r="N817" t="s">
        <v>30</v>
      </c>
      <c r="O817">
        <v>0</v>
      </c>
      <c r="P817" s="1">
        <v>46022</v>
      </c>
      <c r="R817" s="7"/>
      <c r="S817" s="7"/>
    </row>
    <row r="818" spans="1:19" x14ac:dyDescent="0.3">
      <c r="A818" t="s">
        <v>866</v>
      </c>
      <c r="B818" t="s">
        <v>24</v>
      </c>
      <c r="C818" t="s">
        <v>28</v>
      </c>
      <c r="D818" s="5">
        <v>2156</v>
      </c>
      <c r="E818">
        <v>705.24</v>
      </c>
      <c r="F818" t="s">
        <v>48</v>
      </c>
      <c r="G818">
        <v>330</v>
      </c>
      <c r="H818" s="1">
        <f t="shared" si="12"/>
        <v>54454</v>
      </c>
      <c r="I818" t="s">
        <v>15</v>
      </c>
      <c r="J818" s="1">
        <v>44406</v>
      </c>
      <c r="K818" t="s">
        <v>35</v>
      </c>
      <c r="L818" s="3">
        <v>2.9300000000000003E-2</v>
      </c>
      <c r="M818" t="s">
        <v>29</v>
      </c>
      <c r="N818" t="s">
        <v>30</v>
      </c>
      <c r="O818">
        <v>0</v>
      </c>
      <c r="P818" s="1">
        <v>46022</v>
      </c>
      <c r="R818" s="7"/>
      <c r="S818" s="7"/>
    </row>
    <row r="819" spans="1:19" x14ac:dyDescent="0.3">
      <c r="A819" t="s">
        <v>867</v>
      </c>
      <c r="B819" t="s">
        <v>20</v>
      </c>
      <c r="C819" t="s">
        <v>21</v>
      </c>
      <c r="D819" s="5">
        <v>4497875</v>
      </c>
      <c r="E819">
        <v>1695671.05</v>
      </c>
      <c r="F819" t="s">
        <v>14</v>
      </c>
      <c r="G819">
        <v>174</v>
      </c>
      <c r="H819" s="1">
        <f t="shared" si="12"/>
        <v>46022</v>
      </c>
      <c r="I819" t="s">
        <v>15</v>
      </c>
      <c r="J819" s="1">
        <v>40723</v>
      </c>
      <c r="K819" t="s">
        <v>22</v>
      </c>
      <c r="L819" s="3">
        <v>5.91E-2</v>
      </c>
      <c r="M819" t="s">
        <v>29</v>
      </c>
      <c r="N819" t="s">
        <v>30</v>
      </c>
      <c r="O819">
        <v>0</v>
      </c>
      <c r="P819" s="1">
        <v>46022</v>
      </c>
      <c r="R819" s="7"/>
      <c r="S819" s="7"/>
    </row>
    <row r="820" spans="1:19" x14ac:dyDescent="0.3">
      <c r="A820" t="s">
        <v>868</v>
      </c>
      <c r="B820" t="s">
        <v>37</v>
      </c>
      <c r="C820" t="s">
        <v>92</v>
      </c>
      <c r="D820" s="5">
        <v>393767223</v>
      </c>
      <c r="E820">
        <v>256844165.69999999</v>
      </c>
      <c r="F820" t="s">
        <v>48</v>
      </c>
      <c r="G820">
        <v>348</v>
      </c>
      <c r="H820" s="1">
        <f t="shared" si="12"/>
        <v>53661</v>
      </c>
      <c r="I820" t="s">
        <v>15</v>
      </c>
      <c r="J820" s="1">
        <v>43059</v>
      </c>
      <c r="K820" t="s">
        <v>22</v>
      </c>
      <c r="L820" s="3">
        <v>5.0900000000000001E-2</v>
      </c>
      <c r="M820" t="s">
        <v>17</v>
      </c>
      <c r="N820" t="s">
        <v>42</v>
      </c>
      <c r="O820">
        <v>631972304.79999995</v>
      </c>
      <c r="P820" s="1">
        <v>46022</v>
      </c>
      <c r="R820" s="7"/>
      <c r="S820" s="7"/>
    </row>
    <row r="821" spans="1:19" x14ac:dyDescent="0.3">
      <c r="A821" t="s">
        <v>869</v>
      </c>
      <c r="B821" t="s">
        <v>24</v>
      </c>
      <c r="C821" t="s">
        <v>32</v>
      </c>
      <c r="D821" s="5">
        <v>39238</v>
      </c>
      <c r="E821">
        <v>35634.06</v>
      </c>
      <c r="F821" t="s">
        <v>33</v>
      </c>
      <c r="G821">
        <v>36</v>
      </c>
      <c r="H821" s="1">
        <f t="shared" si="12"/>
        <v>46599</v>
      </c>
      <c r="I821" t="s">
        <v>15</v>
      </c>
      <c r="J821" s="1">
        <v>45474</v>
      </c>
      <c r="K821" t="s">
        <v>81</v>
      </c>
      <c r="L821" s="3">
        <v>3.0800000000000001E-2</v>
      </c>
      <c r="M821" t="s">
        <v>29</v>
      </c>
      <c r="N821" t="s">
        <v>30</v>
      </c>
      <c r="O821">
        <v>0</v>
      </c>
      <c r="P821" s="1">
        <v>46022</v>
      </c>
      <c r="R821" s="7"/>
      <c r="S821" s="7"/>
    </row>
    <row r="822" spans="1:19" x14ac:dyDescent="0.3">
      <c r="A822" t="s">
        <v>870</v>
      </c>
      <c r="B822" t="s">
        <v>24</v>
      </c>
      <c r="C822" t="s">
        <v>32</v>
      </c>
      <c r="D822" s="5">
        <v>23442</v>
      </c>
      <c r="E822">
        <v>19431.650000000001</v>
      </c>
      <c r="F822" t="s">
        <v>33</v>
      </c>
      <c r="G822">
        <v>84</v>
      </c>
      <c r="H822" s="1">
        <f t="shared" si="12"/>
        <v>47361</v>
      </c>
      <c r="I822" t="s">
        <v>15</v>
      </c>
      <c r="J822" s="1">
        <v>44790</v>
      </c>
      <c r="K822" t="s">
        <v>39</v>
      </c>
      <c r="L822" s="3">
        <v>7.6799999999999993E-2</v>
      </c>
      <c r="M822" t="s">
        <v>29</v>
      </c>
      <c r="N822" t="s">
        <v>30</v>
      </c>
      <c r="O822">
        <v>0</v>
      </c>
      <c r="P822" s="1">
        <v>46022</v>
      </c>
      <c r="R822" s="7"/>
      <c r="S822" s="7"/>
    </row>
    <row r="823" spans="1:19" x14ac:dyDescent="0.3">
      <c r="A823" t="s">
        <v>871</v>
      </c>
      <c r="B823" t="s">
        <v>24</v>
      </c>
      <c r="C823" t="s">
        <v>32</v>
      </c>
      <c r="D823" s="5">
        <v>20502</v>
      </c>
      <c r="E823">
        <v>12810.16</v>
      </c>
      <c r="F823" t="s">
        <v>33</v>
      </c>
      <c r="G823">
        <v>132</v>
      </c>
      <c r="H823" s="1">
        <f t="shared" si="12"/>
        <v>47087</v>
      </c>
      <c r="I823" t="s">
        <v>15</v>
      </c>
      <c r="J823" s="1">
        <v>43045</v>
      </c>
      <c r="K823" t="s">
        <v>56</v>
      </c>
      <c r="L823" s="3">
        <v>2.9900000000000003E-2</v>
      </c>
      <c r="M823" t="s">
        <v>29</v>
      </c>
      <c r="N823" t="s">
        <v>30</v>
      </c>
      <c r="O823">
        <v>0</v>
      </c>
      <c r="P823" s="1">
        <v>46022</v>
      </c>
      <c r="R823" s="7"/>
      <c r="S823" s="7"/>
    </row>
    <row r="824" spans="1:19" x14ac:dyDescent="0.3">
      <c r="A824" t="s">
        <v>872</v>
      </c>
      <c r="B824" t="s">
        <v>24</v>
      </c>
      <c r="C824" t="s">
        <v>28</v>
      </c>
      <c r="D824" s="5">
        <v>15843</v>
      </c>
      <c r="E824">
        <v>11996.21</v>
      </c>
      <c r="F824" t="s">
        <v>33</v>
      </c>
      <c r="G824">
        <v>324</v>
      </c>
      <c r="H824" s="1">
        <f t="shared" si="12"/>
        <v>54239</v>
      </c>
      <c r="I824" t="s">
        <v>15</v>
      </c>
      <c r="J824" s="1">
        <v>44365</v>
      </c>
      <c r="K824" t="s">
        <v>16</v>
      </c>
      <c r="L824" s="3">
        <v>7.9500000000000001E-2</v>
      </c>
      <c r="M824" t="s">
        <v>29</v>
      </c>
      <c r="N824" t="s">
        <v>30</v>
      </c>
      <c r="O824">
        <v>0</v>
      </c>
      <c r="P824" s="1">
        <v>46022</v>
      </c>
      <c r="R824" s="7"/>
      <c r="S824" s="7"/>
    </row>
    <row r="825" spans="1:19" x14ac:dyDescent="0.3">
      <c r="A825" t="s">
        <v>873</v>
      </c>
      <c r="B825" t="s">
        <v>24</v>
      </c>
      <c r="C825" t="s">
        <v>25</v>
      </c>
      <c r="D825" s="5">
        <v>159125</v>
      </c>
      <c r="E825">
        <v>68159.8</v>
      </c>
      <c r="F825" t="s">
        <v>14</v>
      </c>
      <c r="G825">
        <v>60</v>
      </c>
      <c r="H825" s="1">
        <f t="shared" si="12"/>
        <v>47422</v>
      </c>
      <c r="I825" t="s">
        <v>15</v>
      </c>
      <c r="J825" s="1">
        <v>45570</v>
      </c>
      <c r="K825" t="s">
        <v>16</v>
      </c>
      <c r="L825" s="3">
        <v>9.1700000000000004E-2</v>
      </c>
      <c r="M825" t="s">
        <v>17</v>
      </c>
      <c r="N825" t="s">
        <v>26</v>
      </c>
      <c r="O825">
        <v>190368.34</v>
      </c>
      <c r="P825" s="1">
        <v>46022</v>
      </c>
      <c r="R825" s="7"/>
      <c r="S825" s="7"/>
    </row>
    <row r="826" spans="1:19" x14ac:dyDescent="0.3">
      <c r="A826" t="s">
        <v>874</v>
      </c>
      <c r="B826" t="s">
        <v>24</v>
      </c>
      <c r="C826" t="s">
        <v>41</v>
      </c>
      <c r="D826" s="5">
        <v>30541</v>
      </c>
      <c r="E826">
        <v>20672.38</v>
      </c>
      <c r="F826" t="s">
        <v>14</v>
      </c>
      <c r="G826">
        <v>156</v>
      </c>
      <c r="H826" s="1">
        <f t="shared" si="12"/>
        <v>48457</v>
      </c>
      <c r="I826" t="s">
        <v>15</v>
      </c>
      <c r="J826" s="1">
        <v>43686</v>
      </c>
      <c r="K826" t="s">
        <v>22</v>
      </c>
      <c r="L826" s="3">
        <v>4.1799999999999997E-2</v>
      </c>
      <c r="M826" t="s">
        <v>17</v>
      </c>
      <c r="N826" t="s">
        <v>42</v>
      </c>
      <c r="O826">
        <v>30653.47</v>
      </c>
      <c r="P826" s="1">
        <v>46022</v>
      </c>
      <c r="R826" s="7"/>
      <c r="S826" s="7"/>
    </row>
    <row r="827" spans="1:19" x14ac:dyDescent="0.3">
      <c r="A827" t="s">
        <v>875</v>
      </c>
      <c r="B827" t="s">
        <v>24</v>
      </c>
      <c r="C827" t="s">
        <v>25</v>
      </c>
      <c r="D827" s="5">
        <v>321943</v>
      </c>
      <c r="E827">
        <v>167269.95000000001</v>
      </c>
      <c r="F827" t="s">
        <v>14</v>
      </c>
      <c r="G827">
        <v>234</v>
      </c>
      <c r="H827" s="1">
        <f t="shared" si="12"/>
        <v>51013</v>
      </c>
      <c r="I827" t="s">
        <v>15</v>
      </c>
      <c r="J827" s="1">
        <v>43864</v>
      </c>
      <c r="K827" t="s">
        <v>22</v>
      </c>
      <c r="L827" s="3">
        <v>3.0499999999999999E-2</v>
      </c>
      <c r="M827" t="s">
        <v>17</v>
      </c>
      <c r="N827" t="s">
        <v>26</v>
      </c>
      <c r="O827">
        <v>427825.51</v>
      </c>
      <c r="P827" s="1">
        <v>46022</v>
      </c>
      <c r="R827" s="7"/>
      <c r="S827" s="7"/>
    </row>
    <row r="828" spans="1:19" x14ac:dyDescent="0.3">
      <c r="A828" t="s">
        <v>876</v>
      </c>
      <c r="B828" t="s">
        <v>37</v>
      </c>
      <c r="C828" t="s">
        <v>74</v>
      </c>
      <c r="D828" s="5">
        <v>247197764</v>
      </c>
      <c r="E828">
        <v>66976385.850000001</v>
      </c>
      <c r="F828" t="s">
        <v>14</v>
      </c>
      <c r="G828">
        <v>72</v>
      </c>
      <c r="H828" s="1">
        <f t="shared" si="12"/>
        <v>47330</v>
      </c>
      <c r="I828" t="s">
        <v>15</v>
      </c>
      <c r="J828" s="1">
        <v>45113</v>
      </c>
      <c r="K828" t="s">
        <v>39</v>
      </c>
      <c r="L828" s="3">
        <v>9.6999999999999989E-2</v>
      </c>
      <c r="M828" t="s">
        <v>29</v>
      </c>
      <c r="N828" t="s">
        <v>30</v>
      </c>
      <c r="O828">
        <v>0</v>
      </c>
      <c r="P828" s="1">
        <v>46022</v>
      </c>
      <c r="R828" s="7"/>
      <c r="S828" s="7"/>
    </row>
    <row r="829" spans="1:19" x14ac:dyDescent="0.3">
      <c r="A829" t="s">
        <v>877</v>
      </c>
      <c r="B829" t="s">
        <v>12</v>
      </c>
      <c r="C829" t="s">
        <v>61</v>
      </c>
      <c r="D829" s="5">
        <v>37624776</v>
      </c>
      <c r="E829">
        <v>27524948.370000001</v>
      </c>
      <c r="F829" t="s">
        <v>33</v>
      </c>
      <c r="G829">
        <v>210</v>
      </c>
      <c r="H829" s="1">
        <f t="shared" si="12"/>
        <v>50617</v>
      </c>
      <c r="I829" t="s">
        <v>15</v>
      </c>
      <c r="J829" s="1">
        <v>44211</v>
      </c>
      <c r="K829" t="s">
        <v>22</v>
      </c>
      <c r="L829" s="3">
        <v>3.8100000000000002E-2</v>
      </c>
      <c r="M829" t="s">
        <v>17</v>
      </c>
      <c r="N829" t="s">
        <v>18</v>
      </c>
      <c r="O829">
        <v>71219068.129999995</v>
      </c>
      <c r="P829" s="1">
        <v>46022</v>
      </c>
      <c r="R829" s="7"/>
      <c r="S829" s="7"/>
    </row>
    <row r="830" spans="1:19" x14ac:dyDescent="0.3">
      <c r="A830" t="s">
        <v>878</v>
      </c>
      <c r="B830" t="s">
        <v>24</v>
      </c>
      <c r="C830" t="s">
        <v>28</v>
      </c>
      <c r="D830" s="5">
        <v>24217</v>
      </c>
      <c r="E830">
        <v>14549.82</v>
      </c>
      <c r="F830" t="s">
        <v>14</v>
      </c>
      <c r="G830">
        <v>84</v>
      </c>
      <c r="H830" s="1">
        <f t="shared" si="12"/>
        <v>46996</v>
      </c>
      <c r="I830" t="s">
        <v>15</v>
      </c>
      <c r="J830" s="1">
        <v>44432</v>
      </c>
      <c r="K830" t="s">
        <v>39</v>
      </c>
      <c r="L830" s="3">
        <v>7.980000000000001E-2</v>
      </c>
      <c r="M830" t="s">
        <v>29</v>
      </c>
      <c r="N830" t="s">
        <v>30</v>
      </c>
      <c r="O830">
        <v>0</v>
      </c>
      <c r="P830" s="1">
        <v>46022</v>
      </c>
      <c r="R830" s="7"/>
      <c r="S830" s="7"/>
    </row>
    <row r="831" spans="1:19" x14ac:dyDescent="0.3">
      <c r="A831" t="s">
        <v>879</v>
      </c>
      <c r="B831" t="s">
        <v>12</v>
      </c>
      <c r="C831" t="s">
        <v>61</v>
      </c>
      <c r="D831" s="5">
        <v>3834378</v>
      </c>
      <c r="E831">
        <v>1621019.44</v>
      </c>
      <c r="F831" t="s">
        <v>14</v>
      </c>
      <c r="G831">
        <v>132</v>
      </c>
      <c r="H831" s="1">
        <f t="shared" si="12"/>
        <v>46234</v>
      </c>
      <c r="I831" t="s">
        <v>15</v>
      </c>
      <c r="J831" s="1">
        <v>42215</v>
      </c>
      <c r="K831" t="s">
        <v>56</v>
      </c>
      <c r="L831" s="3">
        <v>2.8999999999999998E-2</v>
      </c>
      <c r="M831" t="s">
        <v>17</v>
      </c>
      <c r="N831" t="s">
        <v>18</v>
      </c>
      <c r="O831">
        <v>4653319.3099999996</v>
      </c>
      <c r="P831" s="1">
        <v>46022</v>
      </c>
      <c r="R831" s="7"/>
      <c r="S831" s="7"/>
    </row>
    <row r="832" spans="1:19" x14ac:dyDescent="0.3">
      <c r="A832" t="s">
        <v>880</v>
      </c>
      <c r="B832" t="s">
        <v>24</v>
      </c>
      <c r="C832" t="s">
        <v>28</v>
      </c>
      <c r="D832" s="5">
        <v>47932</v>
      </c>
      <c r="E832">
        <v>44107</v>
      </c>
      <c r="F832" t="s">
        <v>48</v>
      </c>
      <c r="G832">
        <v>306</v>
      </c>
      <c r="H832" s="1">
        <f t="shared" si="12"/>
        <v>52443</v>
      </c>
      <c r="I832" t="s">
        <v>15</v>
      </c>
      <c r="J832" s="1">
        <v>43115</v>
      </c>
      <c r="K832" t="s">
        <v>56</v>
      </c>
      <c r="L832" s="3">
        <v>3.4099999999999998E-2</v>
      </c>
      <c r="M832" t="s">
        <v>29</v>
      </c>
      <c r="N832" t="s">
        <v>30</v>
      </c>
      <c r="O832">
        <v>0</v>
      </c>
      <c r="P832" s="1">
        <v>46022</v>
      </c>
      <c r="R832" s="7"/>
      <c r="S832" s="7"/>
    </row>
    <row r="833" spans="1:19" x14ac:dyDescent="0.3">
      <c r="A833" t="s">
        <v>881</v>
      </c>
      <c r="B833" t="s">
        <v>24</v>
      </c>
      <c r="C833" t="s">
        <v>41</v>
      </c>
      <c r="D833" s="5">
        <v>94845</v>
      </c>
      <c r="E833">
        <v>11271.47</v>
      </c>
      <c r="F833" t="s">
        <v>14</v>
      </c>
      <c r="G833">
        <v>138</v>
      </c>
      <c r="H833" s="1">
        <f t="shared" si="12"/>
        <v>49278</v>
      </c>
      <c r="I833" t="s">
        <v>15</v>
      </c>
      <c r="J833" s="1">
        <v>45049</v>
      </c>
      <c r="K833" t="s">
        <v>22</v>
      </c>
      <c r="L833" s="3">
        <v>7.2999999999999995E-2</v>
      </c>
      <c r="M833" t="s">
        <v>17</v>
      </c>
      <c r="N833" t="s">
        <v>42</v>
      </c>
      <c r="O833">
        <v>113923.95</v>
      </c>
      <c r="P833" s="1">
        <v>46022</v>
      </c>
      <c r="R833" s="7"/>
      <c r="S833" s="7"/>
    </row>
    <row r="834" spans="1:19" x14ac:dyDescent="0.3">
      <c r="A834" t="s">
        <v>882</v>
      </c>
      <c r="B834" t="s">
        <v>24</v>
      </c>
      <c r="C834" t="s">
        <v>32</v>
      </c>
      <c r="D834" s="5">
        <v>39474</v>
      </c>
      <c r="E834">
        <v>15165.86</v>
      </c>
      <c r="F834" t="s">
        <v>33</v>
      </c>
      <c r="G834">
        <v>288</v>
      </c>
      <c r="H834" s="1">
        <f t="shared" ref="H834:H897" si="13">EOMONTH(J834,G834)</f>
        <v>49490</v>
      </c>
      <c r="I834" t="s">
        <v>15</v>
      </c>
      <c r="J834" s="1">
        <v>40721</v>
      </c>
      <c r="K834" t="s">
        <v>22</v>
      </c>
      <c r="L834" s="3">
        <v>5.6799999999999996E-2</v>
      </c>
      <c r="M834" t="s">
        <v>29</v>
      </c>
      <c r="N834" t="s">
        <v>30</v>
      </c>
      <c r="O834">
        <v>0</v>
      </c>
      <c r="P834" s="1">
        <v>46022</v>
      </c>
      <c r="R834" s="7"/>
      <c r="S834" s="7"/>
    </row>
    <row r="835" spans="1:19" x14ac:dyDescent="0.3">
      <c r="A835" t="s">
        <v>883</v>
      </c>
      <c r="B835" t="s">
        <v>20</v>
      </c>
      <c r="C835" t="s">
        <v>21</v>
      </c>
      <c r="D835" s="5">
        <v>4957073</v>
      </c>
      <c r="E835">
        <v>749476.03</v>
      </c>
      <c r="F835" t="s">
        <v>14</v>
      </c>
      <c r="G835">
        <v>60</v>
      </c>
      <c r="H835" s="1">
        <f t="shared" si="13"/>
        <v>47573</v>
      </c>
      <c r="I835" t="s">
        <v>15</v>
      </c>
      <c r="J835" s="1">
        <v>45738</v>
      </c>
      <c r="K835" t="s">
        <v>16</v>
      </c>
      <c r="L835" s="3">
        <v>0.1008</v>
      </c>
      <c r="M835" t="s">
        <v>17</v>
      </c>
      <c r="N835" t="s">
        <v>42</v>
      </c>
      <c r="O835">
        <v>6207712.0599999996</v>
      </c>
      <c r="P835" s="1">
        <v>46022</v>
      </c>
      <c r="R835" s="7"/>
      <c r="S835" s="7"/>
    </row>
    <row r="836" spans="1:19" x14ac:dyDescent="0.3">
      <c r="A836" t="s">
        <v>884</v>
      </c>
      <c r="B836" t="s">
        <v>24</v>
      </c>
      <c r="C836" t="s">
        <v>25</v>
      </c>
      <c r="D836" s="5">
        <v>590034</v>
      </c>
      <c r="E836">
        <v>466052.94</v>
      </c>
      <c r="F836" t="s">
        <v>14</v>
      </c>
      <c r="G836">
        <v>240</v>
      </c>
      <c r="H836" s="1">
        <f t="shared" si="13"/>
        <v>52200</v>
      </c>
      <c r="I836" t="s">
        <v>15</v>
      </c>
      <c r="J836" s="1">
        <v>44883</v>
      </c>
      <c r="K836" t="s">
        <v>35</v>
      </c>
      <c r="L836" s="3">
        <v>4.4299999999999999E-2</v>
      </c>
      <c r="M836" t="s">
        <v>17</v>
      </c>
      <c r="N836" t="s">
        <v>26</v>
      </c>
      <c r="O836">
        <v>789598.49</v>
      </c>
      <c r="P836" s="1">
        <v>46022</v>
      </c>
      <c r="R836" s="7"/>
      <c r="S836" s="7"/>
    </row>
    <row r="837" spans="1:19" x14ac:dyDescent="0.3">
      <c r="A837" t="s">
        <v>885</v>
      </c>
      <c r="B837" t="s">
        <v>24</v>
      </c>
      <c r="C837" t="s">
        <v>28</v>
      </c>
      <c r="D837" s="5">
        <v>48176</v>
      </c>
      <c r="E837">
        <v>35259.599999999999</v>
      </c>
      <c r="F837" t="s">
        <v>33</v>
      </c>
      <c r="G837">
        <v>300</v>
      </c>
      <c r="H837" s="1">
        <f t="shared" si="13"/>
        <v>53113</v>
      </c>
      <c r="I837" t="s">
        <v>15</v>
      </c>
      <c r="J837" s="1">
        <v>43976</v>
      </c>
      <c r="K837" t="s">
        <v>39</v>
      </c>
      <c r="L837" s="3">
        <v>5.6799999999999996E-2</v>
      </c>
      <c r="M837" t="s">
        <v>29</v>
      </c>
      <c r="N837" t="s">
        <v>30</v>
      </c>
      <c r="O837">
        <v>0</v>
      </c>
      <c r="P837" s="1">
        <v>46022</v>
      </c>
      <c r="R837" s="7"/>
      <c r="S837" s="7"/>
    </row>
    <row r="838" spans="1:19" x14ac:dyDescent="0.3">
      <c r="A838" t="s">
        <v>886</v>
      </c>
      <c r="B838" t="s">
        <v>37</v>
      </c>
      <c r="C838" t="s">
        <v>92</v>
      </c>
      <c r="D838" s="5">
        <v>47046470</v>
      </c>
      <c r="E838">
        <v>18734703.960000001</v>
      </c>
      <c r="F838" t="s">
        <v>48</v>
      </c>
      <c r="G838">
        <v>150</v>
      </c>
      <c r="H838" s="1">
        <f t="shared" si="13"/>
        <v>45626</v>
      </c>
      <c r="I838" t="s">
        <v>15</v>
      </c>
      <c r="J838" s="1">
        <v>41060</v>
      </c>
      <c r="K838" t="s">
        <v>35</v>
      </c>
      <c r="L838" s="3">
        <v>5.1100000000000007E-2</v>
      </c>
      <c r="M838" t="s">
        <v>17</v>
      </c>
      <c r="N838" t="s">
        <v>18</v>
      </c>
      <c r="O838">
        <v>57799018.68</v>
      </c>
      <c r="P838" s="1">
        <v>46022</v>
      </c>
      <c r="R838" s="7"/>
      <c r="S838" s="7"/>
    </row>
    <row r="839" spans="1:19" x14ac:dyDescent="0.3">
      <c r="A839" t="s">
        <v>887</v>
      </c>
      <c r="B839" t="s">
        <v>24</v>
      </c>
      <c r="C839" t="s">
        <v>41</v>
      </c>
      <c r="D839" s="5">
        <v>42911</v>
      </c>
      <c r="E839">
        <v>30385.32</v>
      </c>
      <c r="F839" t="s">
        <v>14</v>
      </c>
      <c r="G839">
        <v>78</v>
      </c>
      <c r="H839" s="1">
        <f t="shared" si="13"/>
        <v>47087</v>
      </c>
      <c r="I839" t="s">
        <v>15</v>
      </c>
      <c r="J839" s="1">
        <v>44708</v>
      </c>
      <c r="K839" t="s">
        <v>22</v>
      </c>
      <c r="L839" s="3">
        <v>5.1699999999999996E-2</v>
      </c>
      <c r="M839" t="s">
        <v>17</v>
      </c>
      <c r="N839" t="s">
        <v>42</v>
      </c>
      <c r="O839">
        <v>43554.5</v>
      </c>
      <c r="P839" s="1">
        <v>46022</v>
      </c>
      <c r="R839" s="7"/>
      <c r="S839" s="7"/>
    </row>
    <row r="840" spans="1:19" x14ac:dyDescent="0.3">
      <c r="A840" t="s">
        <v>888</v>
      </c>
      <c r="B840" t="s">
        <v>20</v>
      </c>
      <c r="C840" t="s">
        <v>47</v>
      </c>
      <c r="D840" s="5">
        <v>1165637</v>
      </c>
      <c r="E840">
        <v>531931</v>
      </c>
      <c r="F840" t="s">
        <v>33</v>
      </c>
      <c r="G840">
        <v>126</v>
      </c>
      <c r="H840" s="1">
        <f t="shared" si="13"/>
        <v>48121</v>
      </c>
      <c r="I840" t="s">
        <v>15</v>
      </c>
      <c r="J840" s="1">
        <v>44280</v>
      </c>
      <c r="K840" t="s">
        <v>22</v>
      </c>
      <c r="L840" s="3">
        <v>3.8599999999999995E-2</v>
      </c>
      <c r="M840" t="s">
        <v>17</v>
      </c>
      <c r="N840" t="s">
        <v>18</v>
      </c>
      <c r="O840">
        <v>2110407.64</v>
      </c>
      <c r="P840" s="1">
        <v>46022</v>
      </c>
      <c r="R840" s="7"/>
      <c r="S840" s="7"/>
    </row>
    <row r="841" spans="1:19" x14ac:dyDescent="0.3">
      <c r="A841" t="s">
        <v>889</v>
      </c>
      <c r="B841" t="s">
        <v>24</v>
      </c>
      <c r="C841" t="s">
        <v>32</v>
      </c>
      <c r="D841" s="5">
        <v>10596</v>
      </c>
      <c r="E841">
        <v>8271.4</v>
      </c>
      <c r="F841" t="s">
        <v>33</v>
      </c>
      <c r="G841">
        <v>246</v>
      </c>
      <c r="H841" s="1">
        <f t="shared" si="13"/>
        <v>48638</v>
      </c>
      <c r="I841" t="s">
        <v>15</v>
      </c>
      <c r="J841" s="1">
        <v>41123</v>
      </c>
      <c r="K841" t="s">
        <v>22</v>
      </c>
      <c r="L841" s="3">
        <v>4.3499999999999997E-2</v>
      </c>
      <c r="M841" t="s">
        <v>29</v>
      </c>
      <c r="N841" t="s">
        <v>30</v>
      </c>
      <c r="O841">
        <v>0</v>
      </c>
      <c r="P841" s="1">
        <v>46022</v>
      </c>
      <c r="R841" s="7"/>
      <c r="S841" s="7"/>
    </row>
    <row r="842" spans="1:19" x14ac:dyDescent="0.3">
      <c r="A842" t="s">
        <v>890</v>
      </c>
      <c r="B842" t="s">
        <v>24</v>
      </c>
      <c r="C842" t="s">
        <v>25</v>
      </c>
      <c r="D842" s="5">
        <v>226723</v>
      </c>
      <c r="E842">
        <v>115348.62</v>
      </c>
      <c r="F842" t="s">
        <v>14</v>
      </c>
      <c r="G842">
        <v>60</v>
      </c>
      <c r="H842" s="1">
        <f t="shared" si="13"/>
        <v>46568</v>
      </c>
      <c r="I842" t="s">
        <v>15</v>
      </c>
      <c r="J842" s="1">
        <v>44726</v>
      </c>
      <c r="K842" t="s">
        <v>35</v>
      </c>
      <c r="L842" s="3">
        <v>5.0499999999999996E-2</v>
      </c>
      <c r="M842" t="s">
        <v>17</v>
      </c>
      <c r="N842" t="s">
        <v>26</v>
      </c>
      <c r="O842">
        <v>288254.48</v>
      </c>
      <c r="P842" s="1">
        <v>46022</v>
      </c>
      <c r="R842" s="7"/>
      <c r="S842" s="7"/>
    </row>
    <row r="843" spans="1:19" x14ac:dyDescent="0.3">
      <c r="A843" t="s">
        <v>891</v>
      </c>
      <c r="B843" t="s">
        <v>24</v>
      </c>
      <c r="C843" t="s">
        <v>32</v>
      </c>
      <c r="D843" s="5">
        <v>31498</v>
      </c>
      <c r="E843">
        <v>14837.32</v>
      </c>
      <c r="F843" t="s">
        <v>33</v>
      </c>
      <c r="G843">
        <v>318</v>
      </c>
      <c r="H843" s="1">
        <f t="shared" si="13"/>
        <v>50921</v>
      </c>
      <c r="I843" t="s">
        <v>15</v>
      </c>
      <c r="J843" s="1">
        <v>41226</v>
      </c>
      <c r="K843" t="s">
        <v>22</v>
      </c>
      <c r="L843" s="3">
        <v>4.8000000000000001E-2</v>
      </c>
      <c r="M843" t="s">
        <v>29</v>
      </c>
      <c r="N843" t="s">
        <v>30</v>
      </c>
      <c r="O843">
        <v>0</v>
      </c>
      <c r="P843" s="1">
        <v>46022</v>
      </c>
      <c r="R843" s="7"/>
      <c r="S843" s="7"/>
    </row>
    <row r="844" spans="1:19" x14ac:dyDescent="0.3">
      <c r="A844" t="s">
        <v>892</v>
      </c>
      <c r="B844" t="s">
        <v>20</v>
      </c>
      <c r="C844" t="s">
        <v>21</v>
      </c>
      <c r="D844" s="5">
        <v>3917543</v>
      </c>
      <c r="E844">
        <v>3687414.65</v>
      </c>
      <c r="F844" t="s">
        <v>14</v>
      </c>
      <c r="G844">
        <v>330</v>
      </c>
      <c r="H844" s="1">
        <f t="shared" si="13"/>
        <v>51591</v>
      </c>
      <c r="I844" t="s">
        <v>15</v>
      </c>
      <c r="J844" s="1">
        <v>41543</v>
      </c>
      <c r="K844" t="s">
        <v>39</v>
      </c>
      <c r="L844" s="3">
        <v>6.54E-2</v>
      </c>
      <c r="M844" t="s">
        <v>17</v>
      </c>
      <c r="N844" t="s">
        <v>42</v>
      </c>
      <c r="O844">
        <v>7133518.2699999996</v>
      </c>
      <c r="P844" s="1">
        <v>46022</v>
      </c>
      <c r="R844" s="7"/>
      <c r="S844" s="7"/>
    </row>
    <row r="845" spans="1:19" x14ac:dyDescent="0.3">
      <c r="A845" t="s">
        <v>893</v>
      </c>
      <c r="B845" t="s">
        <v>24</v>
      </c>
      <c r="C845" t="s">
        <v>41</v>
      </c>
      <c r="D845" s="5">
        <v>62047</v>
      </c>
      <c r="E845">
        <v>20214.32</v>
      </c>
      <c r="F845" t="s">
        <v>14</v>
      </c>
      <c r="G845">
        <v>354</v>
      </c>
      <c r="H845" s="1">
        <f t="shared" si="13"/>
        <v>51409</v>
      </c>
      <c r="I845" t="s">
        <v>15</v>
      </c>
      <c r="J845" s="1">
        <v>40612</v>
      </c>
      <c r="K845" t="s">
        <v>22</v>
      </c>
      <c r="L845" s="3">
        <v>5.8299999999999998E-2</v>
      </c>
      <c r="M845" t="s">
        <v>17</v>
      </c>
      <c r="N845" t="s">
        <v>42</v>
      </c>
      <c r="O845">
        <v>70678.28</v>
      </c>
      <c r="P845" s="1">
        <v>46022</v>
      </c>
      <c r="R845" s="7"/>
      <c r="S845" s="7"/>
    </row>
    <row r="846" spans="1:19" x14ac:dyDescent="0.3">
      <c r="A846" t="s">
        <v>894</v>
      </c>
      <c r="B846" t="s">
        <v>37</v>
      </c>
      <c r="C846" t="s">
        <v>92</v>
      </c>
      <c r="D846" s="5">
        <v>82011728</v>
      </c>
      <c r="E846">
        <v>17091457.77</v>
      </c>
      <c r="F846" t="s">
        <v>33</v>
      </c>
      <c r="G846">
        <v>54</v>
      </c>
      <c r="H846" s="1">
        <f t="shared" si="13"/>
        <v>45961</v>
      </c>
      <c r="I846" t="s">
        <v>15</v>
      </c>
      <c r="J846" s="1">
        <v>44302</v>
      </c>
      <c r="K846" t="s">
        <v>22</v>
      </c>
      <c r="L846" s="3">
        <v>5.28E-2</v>
      </c>
      <c r="M846" t="s">
        <v>17</v>
      </c>
      <c r="N846" t="s">
        <v>26</v>
      </c>
      <c r="O846">
        <v>111743827.40000001</v>
      </c>
      <c r="P846" s="1">
        <v>46022</v>
      </c>
      <c r="R846" s="7"/>
      <c r="S846" s="7"/>
    </row>
    <row r="847" spans="1:19" x14ac:dyDescent="0.3">
      <c r="A847" t="s">
        <v>895</v>
      </c>
      <c r="B847" t="s">
        <v>37</v>
      </c>
      <c r="C847" t="s">
        <v>144</v>
      </c>
      <c r="D847" s="5">
        <v>407450647</v>
      </c>
      <c r="E847">
        <v>255100287.59999999</v>
      </c>
      <c r="F847" t="s">
        <v>33</v>
      </c>
      <c r="G847">
        <v>90</v>
      </c>
      <c r="H847" s="1">
        <f t="shared" si="13"/>
        <v>47848</v>
      </c>
      <c r="I847" t="s">
        <v>15</v>
      </c>
      <c r="J847" s="1">
        <v>45079</v>
      </c>
      <c r="K847" t="s">
        <v>39</v>
      </c>
      <c r="L847" s="3">
        <v>9.01E-2</v>
      </c>
      <c r="M847" t="s">
        <v>17</v>
      </c>
      <c r="N847" t="s">
        <v>18</v>
      </c>
      <c r="O847">
        <v>501272281.30000001</v>
      </c>
      <c r="P847" s="1">
        <v>46022</v>
      </c>
      <c r="R847" s="7"/>
      <c r="S847" s="7"/>
    </row>
    <row r="848" spans="1:19" x14ac:dyDescent="0.3">
      <c r="A848" t="s">
        <v>896</v>
      </c>
      <c r="B848" t="s">
        <v>37</v>
      </c>
      <c r="C848" t="s">
        <v>78</v>
      </c>
      <c r="D848" s="5">
        <v>321617807</v>
      </c>
      <c r="E848">
        <v>312737820.19999999</v>
      </c>
      <c r="F848" t="s">
        <v>14</v>
      </c>
      <c r="G848">
        <v>312</v>
      </c>
      <c r="H848" s="1">
        <f t="shared" si="13"/>
        <v>54788</v>
      </c>
      <c r="I848" t="s">
        <v>15</v>
      </c>
      <c r="J848" s="1">
        <v>45279</v>
      </c>
      <c r="K848" t="s">
        <v>39</v>
      </c>
      <c r="L848" s="3">
        <v>9.01E-2</v>
      </c>
      <c r="M848" t="s">
        <v>17</v>
      </c>
      <c r="N848" t="s">
        <v>18</v>
      </c>
      <c r="O848">
        <v>487097780.5</v>
      </c>
      <c r="P848" s="1">
        <v>46022</v>
      </c>
      <c r="R848" s="7"/>
      <c r="S848" s="7"/>
    </row>
    <row r="849" spans="1:19" x14ac:dyDescent="0.3">
      <c r="A849" t="s">
        <v>897</v>
      </c>
      <c r="B849" t="s">
        <v>24</v>
      </c>
      <c r="C849" t="s">
        <v>41</v>
      </c>
      <c r="D849" s="5">
        <v>44935</v>
      </c>
      <c r="E849">
        <v>19773.84</v>
      </c>
      <c r="F849" t="s">
        <v>14</v>
      </c>
      <c r="G849">
        <v>60</v>
      </c>
      <c r="H849" s="1">
        <f t="shared" si="13"/>
        <v>46081</v>
      </c>
      <c r="I849" t="s">
        <v>15</v>
      </c>
      <c r="J849" s="1">
        <v>44233</v>
      </c>
      <c r="K849" t="s">
        <v>22</v>
      </c>
      <c r="L849" s="3">
        <v>4.7599999999999996E-2</v>
      </c>
      <c r="M849" t="s">
        <v>17</v>
      </c>
      <c r="N849" t="s">
        <v>42</v>
      </c>
      <c r="O849">
        <v>49170.07</v>
      </c>
      <c r="P849" s="1">
        <v>46022</v>
      </c>
      <c r="R849" s="7"/>
      <c r="S849" s="7"/>
    </row>
    <row r="850" spans="1:19" x14ac:dyDescent="0.3">
      <c r="A850" t="s">
        <v>898</v>
      </c>
      <c r="B850" t="s">
        <v>20</v>
      </c>
      <c r="C850" t="s">
        <v>51</v>
      </c>
      <c r="D850" s="5">
        <v>3386945</v>
      </c>
      <c r="E850">
        <v>527798.09</v>
      </c>
      <c r="F850" t="s">
        <v>48</v>
      </c>
      <c r="G850">
        <v>150</v>
      </c>
      <c r="H850" s="1">
        <f t="shared" si="13"/>
        <v>46752</v>
      </c>
      <c r="I850" t="s">
        <v>15</v>
      </c>
      <c r="J850" s="1">
        <v>42159</v>
      </c>
      <c r="K850" t="s">
        <v>22</v>
      </c>
      <c r="L850" s="3">
        <v>5.6900000000000006E-2</v>
      </c>
      <c r="M850" t="s">
        <v>17</v>
      </c>
      <c r="N850" t="s">
        <v>26</v>
      </c>
      <c r="O850">
        <v>4863561.6100000003</v>
      </c>
      <c r="P850" s="1">
        <v>46022</v>
      </c>
      <c r="R850" s="7"/>
      <c r="S850" s="7"/>
    </row>
    <row r="851" spans="1:19" x14ac:dyDescent="0.3">
      <c r="A851" t="s">
        <v>899</v>
      </c>
      <c r="B851" t="s">
        <v>24</v>
      </c>
      <c r="C851" t="s">
        <v>32</v>
      </c>
      <c r="D851" s="5">
        <v>13735</v>
      </c>
      <c r="E851">
        <v>5567.96</v>
      </c>
      <c r="F851" t="s">
        <v>33</v>
      </c>
      <c r="G851">
        <v>78</v>
      </c>
      <c r="H851" s="1">
        <f t="shared" si="13"/>
        <v>47695</v>
      </c>
      <c r="I851" t="s">
        <v>15</v>
      </c>
      <c r="J851" s="1">
        <v>45320</v>
      </c>
      <c r="K851" t="s">
        <v>16</v>
      </c>
      <c r="L851" s="3">
        <v>0.11019999999999999</v>
      </c>
      <c r="M851" t="s">
        <v>29</v>
      </c>
      <c r="N851" t="s">
        <v>30</v>
      </c>
      <c r="O851">
        <v>0</v>
      </c>
      <c r="P851" s="1">
        <v>46022</v>
      </c>
      <c r="R851" s="7"/>
      <c r="S851" s="7"/>
    </row>
    <row r="852" spans="1:19" x14ac:dyDescent="0.3">
      <c r="A852" t="s">
        <v>900</v>
      </c>
      <c r="B852" t="s">
        <v>24</v>
      </c>
      <c r="C852" t="s">
        <v>41</v>
      </c>
      <c r="D852" s="5">
        <v>41067</v>
      </c>
      <c r="E852">
        <v>22806.25</v>
      </c>
      <c r="F852" t="s">
        <v>14</v>
      </c>
      <c r="G852">
        <v>204</v>
      </c>
      <c r="H852" s="1">
        <f t="shared" si="13"/>
        <v>48760</v>
      </c>
      <c r="I852" t="s">
        <v>15</v>
      </c>
      <c r="J852" s="1">
        <v>42535</v>
      </c>
      <c r="K852" t="s">
        <v>22</v>
      </c>
      <c r="L852" s="3">
        <v>4.4900000000000002E-2</v>
      </c>
      <c r="M852" t="s">
        <v>17</v>
      </c>
      <c r="N852" t="s">
        <v>42</v>
      </c>
      <c r="O852">
        <v>47750.17</v>
      </c>
      <c r="P852" s="1">
        <v>46022</v>
      </c>
      <c r="R852" s="7"/>
      <c r="S852" s="7"/>
    </row>
    <row r="853" spans="1:19" x14ac:dyDescent="0.3">
      <c r="A853" t="s">
        <v>901</v>
      </c>
      <c r="B853" t="s">
        <v>24</v>
      </c>
      <c r="C853" t="s">
        <v>28</v>
      </c>
      <c r="D853" s="5">
        <v>45957</v>
      </c>
      <c r="E853">
        <v>11293</v>
      </c>
      <c r="F853" t="s">
        <v>33</v>
      </c>
      <c r="G853">
        <v>306</v>
      </c>
      <c r="H853" s="1">
        <f t="shared" si="13"/>
        <v>53235</v>
      </c>
      <c r="I853" t="s">
        <v>15</v>
      </c>
      <c r="J853" s="1">
        <v>43907</v>
      </c>
      <c r="K853" t="s">
        <v>35</v>
      </c>
      <c r="L853" s="3">
        <v>2.0899999999999998E-2</v>
      </c>
      <c r="M853" t="s">
        <v>29</v>
      </c>
      <c r="N853" t="s">
        <v>30</v>
      </c>
      <c r="O853">
        <v>0</v>
      </c>
      <c r="P853" s="1">
        <v>46022</v>
      </c>
      <c r="R853" s="7"/>
      <c r="S853" s="7"/>
    </row>
    <row r="854" spans="1:19" x14ac:dyDescent="0.3">
      <c r="A854" t="s">
        <v>902</v>
      </c>
      <c r="B854" t="s">
        <v>12</v>
      </c>
      <c r="C854" t="s">
        <v>13</v>
      </c>
      <c r="D854" s="5">
        <v>15234721</v>
      </c>
      <c r="E854">
        <v>10546875.26</v>
      </c>
      <c r="F854" t="s">
        <v>14</v>
      </c>
      <c r="G854">
        <v>348</v>
      </c>
      <c r="H854" s="1">
        <f t="shared" si="13"/>
        <v>51256</v>
      </c>
      <c r="I854" t="s">
        <v>15</v>
      </c>
      <c r="J854" s="1">
        <v>40658</v>
      </c>
      <c r="K854" t="s">
        <v>22</v>
      </c>
      <c r="L854" s="3">
        <v>5.6600000000000004E-2</v>
      </c>
      <c r="M854" t="s">
        <v>17</v>
      </c>
      <c r="N854" t="s">
        <v>54</v>
      </c>
      <c r="O854">
        <v>26502374.699999999</v>
      </c>
      <c r="P854" s="1">
        <v>46022</v>
      </c>
      <c r="R854" s="7"/>
      <c r="S854" s="7"/>
    </row>
    <row r="855" spans="1:19" x14ac:dyDescent="0.3">
      <c r="A855" t="s">
        <v>903</v>
      </c>
      <c r="B855" t="s">
        <v>24</v>
      </c>
      <c r="C855" t="s">
        <v>25</v>
      </c>
      <c r="D855" s="5">
        <v>522989</v>
      </c>
      <c r="E855">
        <v>521930.1</v>
      </c>
      <c r="F855" t="s">
        <v>14</v>
      </c>
      <c r="G855">
        <v>204</v>
      </c>
      <c r="H855" s="1">
        <f t="shared" si="13"/>
        <v>48638</v>
      </c>
      <c r="I855" t="s">
        <v>15</v>
      </c>
      <c r="J855" s="1">
        <v>42429</v>
      </c>
      <c r="K855" t="s">
        <v>39</v>
      </c>
      <c r="L855" s="3">
        <v>6.0999999999999999E-2</v>
      </c>
      <c r="M855" t="s">
        <v>17</v>
      </c>
      <c r="N855" t="s">
        <v>26</v>
      </c>
      <c r="O855">
        <v>741127.34</v>
      </c>
      <c r="P855" s="1">
        <v>46022</v>
      </c>
      <c r="R855" s="7"/>
      <c r="S855" s="7"/>
    </row>
    <row r="856" spans="1:19" x14ac:dyDescent="0.3">
      <c r="A856" t="s">
        <v>904</v>
      </c>
      <c r="B856" t="s">
        <v>24</v>
      </c>
      <c r="C856" t="s">
        <v>25</v>
      </c>
      <c r="D856" s="5">
        <v>901127</v>
      </c>
      <c r="E856">
        <v>456479.89</v>
      </c>
      <c r="F856" t="s">
        <v>14</v>
      </c>
      <c r="G856">
        <v>210</v>
      </c>
      <c r="H856" s="1">
        <f t="shared" si="13"/>
        <v>47968</v>
      </c>
      <c r="I856" t="s">
        <v>15</v>
      </c>
      <c r="J856" s="1">
        <v>41561</v>
      </c>
      <c r="K856" t="s">
        <v>56</v>
      </c>
      <c r="L856" s="3">
        <v>2.9700000000000001E-2</v>
      </c>
      <c r="M856" t="s">
        <v>17</v>
      </c>
      <c r="N856" t="s">
        <v>26</v>
      </c>
      <c r="O856">
        <v>1275567.06</v>
      </c>
      <c r="P856" s="1">
        <v>46022</v>
      </c>
      <c r="R856" s="7"/>
      <c r="S856" s="7"/>
    </row>
    <row r="857" spans="1:19" x14ac:dyDescent="0.3">
      <c r="A857" t="s">
        <v>905</v>
      </c>
      <c r="B857" t="s">
        <v>24</v>
      </c>
      <c r="C857" t="s">
        <v>41</v>
      </c>
      <c r="D857" s="5">
        <v>73695</v>
      </c>
      <c r="E857" s="4">
        <v>30897.02</v>
      </c>
      <c r="F857" t="s">
        <v>14</v>
      </c>
      <c r="G857">
        <v>228</v>
      </c>
      <c r="H857" s="1">
        <f t="shared" si="13"/>
        <v>50525</v>
      </c>
      <c r="I857" t="s">
        <v>15</v>
      </c>
      <c r="J857" s="1">
        <v>43580</v>
      </c>
      <c r="K857" t="s">
        <v>101</v>
      </c>
      <c r="L857" s="3">
        <v>0.1401</v>
      </c>
      <c r="M857" t="s">
        <v>17</v>
      </c>
      <c r="N857" t="s">
        <v>42</v>
      </c>
      <c r="O857">
        <v>75661.279999999999</v>
      </c>
      <c r="P857" s="1">
        <v>46022</v>
      </c>
      <c r="R857" s="7"/>
      <c r="S857" s="7"/>
    </row>
    <row r="858" spans="1:19" x14ac:dyDescent="0.3">
      <c r="A858" t="s">
        <v>906</v>
      </c>
      <c r="B858" t="s">
        <v>24</v>
      </c>
      <c r="C858" t="s">
        <v>28</v>
      </c>
      <c r="D858" s="5">
        <v>4048</v>
      </c>
      <c r="E858">
        <v>1864.63</v>
      </c>
      <c r="F858" t="s">
        <v>48</v>
      </c>
      <c r="G858">
        <v>60</v>
      </c>
      <c r="H858" s="1">
        <f t="shared" si="13"/>
        <v>47664</v>
      </c>
      <c r="I858" t="s">
        <v>15</v>
      </c>
      <c r="J858" s="1">
        <v>45810</v>
      </c>
      <c r="K858" t="s">
        <v>35</v>
      </c>
      <c r="L858" s="3">
        <v>3.5299999999999998E-2</v>
      </c>
      <c r="M858" t="s">
        <v>29</v>
      </c>
      <c r="N858" t="s">
        <v>30</v>
      </c>
      <c r="O858">
        <v>0</v>
      </c>
      <c r="P858" s="1">
        <v>46022</v>
      </c>
      <c r="R858" s="7"/>
      <c r="S858" s="7"/>
    </row>
    <row r="859" spans="1:19" x14ac:dyDescent="0.3">
      <c r="A859" t="s">
        <v>907</v>
      </c>
      <c r="B859" t="s">
        <v>37</v>
      </c>
      <c r="C859" t="s">
        <v>78</v>
      </c>
      <c r="D859" s="5">
        <v>82178492</v>
      </c>
      <c r="E859">
        <v>16734134.51</v>
      </c>
      <c r="F859" t="s">
        <v>48</v>
      </c>
      <c r="G859">
        <v>252</v>
      </c>
      <c r="H859" s="1">
        <f t="shared" si="13"/>
        <v>48091</v>
      </c>
      <c r="I859" t="s">
        <v>15</v>
      </c>
      <c r="J859" s="1">
        <v>40415</v>
      </c>
      <c r="K859" t="s">
        <v>39</v>
      </c>
      <c r="L859" s="3">
        <v>7.7300000000000008E-2</v>
      </c>
      <c r="M859" t="s">
        <v>17</v>
      </c>
      <c r="N859" t="s">
        <v>26</v>
      </c>
      <c r="O859">
        <v>156654872.09999999</v>
      </c>
      <c r="P859" s="1">
        <v>46022</v>
      </c>
      <c r="R859" s="7"/>
      <c r="S859" s="7"/>
    </row>
    <row r="860" spans="1:19" x14ac:dyDescent="0.3">
      <c r="A860" t="s">
        <v>908</v>
      </c>
      <c r="B860" t="s">
        <v>12</v>
      </c>
      <c r="C860" t="s">
        <v>13</v>
      </c>
      <c r="D860" s="5">
        <v>1384238</v>
      </c>
      <c r="E860">
        <v>1238818.55</v>
      </c>
      <c r="F860" t="s">
        <v>48</v>
      </c>
      <c r="G860">
        <v>336</v>
      </c>
      <c r="H860" s="1">
        <f t="shared" si="13"/>
        <v>51195</v>
      </c>
      <c r="I860" t="s">
        <v>15</v>
      </c>
      <c r="J860" s="1">
        <v>40963</v>
      </c>
      <c r="K860" t="s">
        <v>22</v>
      </c>
      <c r="L860" s="3">
        <v>0.04</v>
      </c>
      <c r="M860" t="s">
        <v>17</v>
      </c>
      <c r="N860" t="s">
        <v>54</v>
      </c>
      <c r="O860">
        <v>2071922.73</v>
      </c>
      <c r="P860" s="1">
        <v>46022</v>
      </c>
      <c r="R860" s="7"/>
      <c r="S860" s="7"/>
    </row>
    <row r="861" spans="1:19" x14ac:dyDescent="0.3">
      <c r="A861" t="s">
        <v>909</v>
      </c>
      <c r="B861" t="s">
        <v>12</v>
      </c>
      <c r="C861" t="s">
        <v>63</v>
      </c>
      <c r="D861" s="5">
        <v>31915168</v>
      </c>
      <c r="E861">
        <v>15106824.109999999</v>
      </c>
      <c r="F861" t="s">
        <v>33</v>
      </c>
      <c r="G861">
        <v>354</v>
      </c>
      <c r="H861" s="1">
        <f t="shared" si="13"/>
        <v>55943</v>
      </c>
      <c r="I861" t="s">
        <v>15</v>
      </c>
      <c r="J861" s="1">
        <v>45163</v>
      </c>
      <c r="K861" t="s">
        <v>22</v>
      </c>
      <c r="L861" s="3">
        <v>7.51E-2</v>
      </c>
      <c r="M861" t="s">
        <v>17</v>
      </c>
      <c r="N861" t="s">
        <v>18</v>
      </c>
      <c r="O861">
        <v>41758572.200000003</v>
      </c>
      <c r="P861" s="1">
        <v>46022</v>
      </c>
      <c r="R861" s="7"/>
      <c r="S861" s="7"/>
    </row>
    <row r="862" spans="1:19" x14ac:dyDescent="0.3">
      <c r="A862" t="s">
        <v>910</v>
      </c>
      <c r="B862" t="s">
        <v>24</v>
      </c>
      <c r="C862" t="s">
        <v>25</v>
      </c>
      <c r="D862" s="5">
        <v>502906</v>
      </c>
      <c r="E862">
        <v>225577</v>
      </c>
      <c r="F862" t="s">
        <v>14</v>
      </c>
      <c r="G862">
        <v>60</v>
      </c>
      <c r="H862" s="1">
        <f t="shared" si="13"/>
        <v>47330</v>
      </c>
      <c r="I862" t="s">
        <v>15</v>
      </c>
      <c r="J862" s="1">
        <v>45474</v>
      </c>
      <c r="K862" t="s">
        <v>16</v>
      </c>
      <c r="L862" s="3">
        <v>8.9600000000000013E-2</v>
      </c>
      <c r="M862" t="s">
        <v>17</v>
      </c>
      <c r="N862" t="s">
        <v>26</v>
      </c>
      <c r="O862">
        <v>618625.23</v>
      </c>
      <c r="P862" s="1">
        <v>46022</v>
      </c>
      <c r="R862" s="7"/>
      <c r="S862" s="7"/>
    </row>
    <row r="863" spans="1:19" x14ac:dyDescent="0.3">
      <c r="A863" t="s">
        <v>911</v>
      </c>
      <c r="B863" t="s">
        <v>12</v>
      </c>
      <c r="C863" t="s">
        <v>61</v>
      </c>
      <c r="D863" s="5">
        <v>7579468</v>
      </c>
      <c r="E863">
        <v>5258037.7699999996</v>
      </c>
      <c r="F863" t="s">
        <v>33</v>
      </c>
      <c r="G863">
        <v>330</v>
      </c>
      <c r="H863" s="1">
        <f t="shared" si="13"/>
        <v>50374</v>
      </c>
      <c r="I863" t="s">
        <v>15</v>
      </c>
      <c r="J863" s="1">
        <v>40326</v>
      </c>
      <c r="K863" t="s">
        <v>22</v>
      </c>
      <c r="L863" s="3">
        <v>5.8700000000000002E-2</v>
      </c>
      <c r="M863" t="s">
        <v>17</v>
      </c>
      <c r="N863" t="s">
        <v>54</v>
      </c>
      <c r="O863">
        <v>10867715.33</v>
      </c>
      <c r="P863" s="1">
        <v>46022</v>
      </c>
      <c r="R863" s="7"/>
      <c r="S863" s="7"/>
    </row>
    <row r="864" spans="1:19" x14ac:dyDescent="0.3">
      <c r="A864" t="s">
        <v>912</v>
      </c>
      <c r="B864" t="s">
        <v>24</v>
      </c>
      <c r="C864" t="s">
        <v>41</v>
      </c>
      <c r="D864" s="5">
        <v>96214</v>
      </c>
      <c r="E864">
        <v>47898.26</v>
      </c>
      <c r="F864" t="s">
        <v>14</v>
      </c>
      <c r="G864">
        <v>288</v>
      </c>
      <c r="H864" s="1">
        <f t="shared" si="13"/>
        <v>51866</v>
      </c>
      <c r="I864" t="s">
        <v>15</v>
      </c>
      <c r="J864" s="1">
        <v>43075</v>
      </c>
      <c r="K864" t="s">
        <v>22</v>
      </c>
      <c r="L864" s="3">
        <v>5.0499999999999996E-2</v>
      </c>
      <c r="M864" t="s">
        <v>17</v>
      </c>
      <c r="N864" t="s">
        <v>42</v>
      </c>
      <c r="O864">
        <v>106125.55</v>
      </c>
      <c r="P864" s="1">
        <v>46022</v>
      </c>
      <c r="R864" s="7"/>
      <c r="S864" s="7"/>
    </row>
    <row r="865" spans="1:19" x14ac:dyDescent="0.3">
      <c r="A865" t="s">
        <v>913</v>
      </c>
      <c r="B865" t="s">
        <v>12</v>
      </c>
      <c r="C865" t="s">
        <v>61</v>
      </c>
      <c r="D865" s="5">
        <v>26953326</v>
      </c>
      <c r="E865">
        <v>18420176.129999999</v>
      </c>
      <c r="F865" t="s">
        <v>33</v>
      </c>
      <c r="G865">
        <v>294</v>
      </c>
      <c r="H865" s="1">
        <f t="shared" si="13"/>
        <v>52262</v>
      </c>
      <c r="I865" t="s">
        <v>15</v>
      </c>
      <c r="J865" s="1">
        <v>43290</v>
      </c>
      <c r="K865" t="s">
        <v>56</v>
      </c>
      <c r="L865" s="3">
        <v>3.5099999999999999E-2</v>
      </c>
      <c r="M865" t="s">
        <v>29</v>
      </c>
      <c r="N865" t="s">
        <v>30</v>
      </c>
      <c r="O865">
        <v>0</v>
      </c>
      <c r="P865" s="1">
        <v>46022</v>
      </c>
      <c r="R865" s="7"/>
      <c r="S865" s="7"/>
    </row>
    <row r="866" spans="1:19" x14ac:dyDescent="0.3">
      <c r="A866" t="s">
        <v>914</v>
      </c>
      <c r="B866" t="s">
        <v>37</v>
      </c>
      <c r="C866" t="s">
        <v>38</v>
      </c>
      <c r="D866" s="5">
        <v>128527714</v>
      </c>
      <c r="E866">
        <v>19960567.5</v>
      </c>
      <c r="F866" t="s">
        <v>48</v>
      </c>
      <c r="G866">
        <v>114</v>
      </c>
      <c r="H866" s="1">
        <f t="shared" si="13"/>
        <v>45688</v>
      </c>
      <c r="I866" t="s">
        <v>15</v>
      </c>
      <c r="J866" s="1">
        <v>42211</v>
      </c>
      <c r="K866" t="s">
        <v>81</v>
      </c>
      <c r="L866" s="3">
        <v>3.6699999999999997E-2</v>
      </c>
      <c r="M866" t="s">
        <v>17</v>
      </c>
      <c r="N866" t="s">
        <v>54</v>
      </c>
      <c r="O866">
        <v>222434188.80000001</v>
      </c>
      <c r="P866" s="1">
        <v>46022</v>
      </c>
      <c r="R866" s="7"/>
      <c r="S866" s="7"/>
    </row>
    <row r="867" spans="1:19" x14ac:dyDescent="0.3">
      <c r="A867" t="s">
        <v>915</v>
      </c>
      <c r="B867" t="s">
        <v>24</v>
      </c>
      <c r="C867" t="s">
        <v>28</v>
      </c>
      <c r="D867" s="5">
        <v>25530</v>
      </c>
      <c r="E867">
        <v>21249.56</v>
      </c>
      <c r="F867" t="s">
        <v>33</v>
      </c>
      <c r="G867">
        <v>18</v>
      </c>
      <c r="H867" s="1">
        <f t="shared" si="13"/>
        <v>45747</v>
      </c>
      <c r="I867" t="s">
        <v>15</v>
      </c>
      <c r="J867" s="1">
        <v>45185</v>
      </c>
      <c r="K867" t="s">
        <v>35</v>
      </c>
      <c r="L867" s="3">
        <v>1.8700000000000001E-2</v>
      </c>
      <c r="M867" t="s">
        <v>29</v>
      </c>
      <c r="N867" t="s">
        <v>30</v>
      </c>
      <c r="O867">
        <v>0</v>
      </c>
      <c r="P867" s="1">
        <v>46022</v>
      </c>
      <c r="R867" s="7"/>
      <c r="S867" s="7"/>
    </row>
    <row r="868" spans="1:19" x14ac:dyDescent="0.3">
      <c r="A868" t="s">
        <v>916</v>
      </c>
      <c r="B868" t="s">
        <v>24</v>
      </c>
      <c r="C868" t="s">
        <v>28</v>
      </c>
      <c r="D868" s="5">
        <v>34301</v>
      </c>
      <c r="E868">
        <v>32464.68</v>
      </c>
      <c r="F868" t="s">
        <v>14</v>
      </c>
      <c r="G868">
        <v>108</v>
      </c>
      <c r="H868" s="1">
        <f t="shared" si="13"/>
        <v>47999</v>
      </c>
      <c r="I868" t="s">
        <v>15</v>
      </c>
      <c r="J868" s="1">
        <v>44698</v>
      </c>
      <c r="K868" t="s">
        <v>39</v>
      </c>
      <c r="L868" s="3">
        <v>6.9000000000000006E-2</v>
      </c>
      <c r="M868" t="s">
        <v>29</v>
      </c>
      <c r="N868" t="s">
        <v>30</v>
      </c>
      <c r="O868">
        <v>0</v>
      </c>
      <c r="P868" s="1">
        <v>46022</v>
      </c>
      <c r="R868" s="7"/>
      <c r="S868" s="7"/>
    </row>
    <row r="869" spans="1:19" x14ac:dyDescent="0.3">
      <c r="A869" t="s">
        <v>917</v>
      </c>
      <c r="B869" t="s">
        <v>12</v>
      </c>
      <c r="C869" t="s">
        <v>63</v>
      </c>
      <c r="D869" s="5">
        <v>4735722</v>
      </c>
      <c r="E869">
        <v>3238707.24</v>
      </c>
      <c r="F869" t="s">
        <v>33</v>
      </c>
      <c r="G869">
        <v>234</v>
      </c>
      <c r="H869" s="1">
        <f t="shared" si="13"/>
        <v>47726</v>
      </c>
      <c r="I869" t="s">
        <v>15</v>
      </c>
      <c r="J869" s="1">
        <v>40599</v>
      </c>
      <c r="K869" t="s">
        <v>35</v>
      </c>
      <c r="L869" s="3">
        <v>4.36E-2</v>
      </c>
      <c r="M869" t="s">
        <v>17</v>
      </c>
      <c r="N869" t="s">
        <v>42</v>
      </c>
      <c r="O869">
        <v>6536342.7300000004</v>
      </c>
      <c r="P869" s="1">
        <v>46022</v>
      </c>
      <c r="R869" s="7"/>
      <c r="S869" s="7"/>
    </row>
    <row r="870" spans="1:19" x14ac:dyDescent="0.3">
      <c r="A870" t="s">
        <v>918</v>
      </c>
      <c r="B870" t="s">
        <v>37</v>
      </c>
      <c r="C870" t="s">
        <v>74</v>
      </c>
      <c r="D870" s="5">
        <v>144604869</v>
      </c>
      <c r="E870">
        <v>138691880.19999999</v>
      </c>
      <c r="F870" t="s">
        <v>33</v>
      </c>
      <c r="G870">
        <v>54</v>
      </c>
      <c r="H870" s="1">
        <f t="shared" si="13"/>
        <v>46418</v>
      </c>
      <c r="I870" t="s">
        <v>15</v>
      </c>
      <c r="J870" s="1">
        <v>44762</v>
      </c>
      <c r="K870" t="s">
        <v>35</v>
      </c>
      <c r="L870" s="3">
        <v>4.4299999999999999E-2</v>
      </c>
      <c r="M870" t="s">
        <v>17</v>
      </c>
      <c r="N870" t="s">
        <v>54</v>
      </c>
      <c r="O870">
        <v>170570389.19999999</v>
      </c>
      <c r="P870" s="1">
        <v>46022</v>
      </c>
      <c r="R870" s="7"/>
      <c r="S870" s="7"/>
    </row>
    <row r="871" spans="1:19" x14ac:dyDescent="0.3">
      <c r="A871" t="s">
        <v>919</v>
      </c>
      <c r="B871" t="s">
        <v>12</v>
      </c>
      <c r="C871" t="s">
        <v>26</v>
      </c>
      <c r="D871" s="5">
        <v>40541309</v>
      </c>
      <c r="E871">
        <v>9579468.7400000002</v>
      </c>
      <c r="F871" t="s">
        <v>48</v>
      </c>
      <c r="G871">
        <v>312</v>
      </c>
      <c r="H871" s="1">
        <f t="shared" si="13"/>
        <v>52139</v>
      </c>
      <c r="I871" t="s">
        <v>15</v>
      </c>
      <c r="J871" s="1">
        <v>42636</v>
      </c>
      <c r="K871" t="s">
        <v>22</v>
      </c>
      <c r="L871" s="3">
        <v>4.3200000000000002E-2</v>
      </c>
      <c r="M871" t="s">
        <v>29</v>
      </c>
      <c r="N871" t="s">
        <v>30</v>
      </c>
      <c r="O871">
        <v>0</v>
      </c>
      <c r="P871" s="1">
        <v>46022</v>
      </c>
      <c r="R871" s="7"/>
      <c r="S871" s="7"/>
    </row>
    <row r="872" spans="1:19" x14ac:dyDescent="0.3">
      <c r="A872" t="s">
        <v>920</v>
      </c>
      <c r="B872" t="s">
        <v>20</v>
      </c>
      <c r="C872" t="s">
        <v>21</v>
      </c>
      <c r="D872" s="5">
        <v>2325341</v>
      </c>
      <c r="E872">
        <v>1231674.05</v>
      </c>
      <c r="F872" t="s">
        <v>33</v>
      </c>
      <c r="G872">
        <v>72</v>
      </c>
      <c r="H872" s="1">
        <f t="shared" si="13"/>
        <v>48029</v>
      </c>
      <c r="I872" t="s">
        <v>15</v>
      </c>
      <c r="J872" s="1">
        <v>45836</v>
      </c>
      <c r="K872" t="s">
        <v>39</v>
      </c>
      <c r="L872" s="3">
        <v>6.7199999999999996E-2</v>
      </c>
      <c r="M872" t="s">
        <v>29</v>
      </c>
      <c r="N872" t="s">
        <v>30</v>
      </c>
      <c r="O872">
        <v>0</v>
      </c>
      <c r="P872" s="1">
        <v>46022</v>
      </c>
      <c r="R872" s="7"/>
      <c r="S872" s="7"/>
    </row>
    <row r="873" spans="1:19" x14ac:dyDescent="0.3">
      <c r="A873" t="s">
        <v>921</v>
      </c>
      <c r="B873" t="s">
        <v>24</v>
      </c>
      <c r="C873" t="s">
        <v>32</v>
      </c>
      <c r="D873" s="5">
        <v>27782</v>
      </c>
      <c r="E873">
        <v>17825.830000000002</v>
      </c>
      <c r="F873" t="s">
        <v>33</v>
      </c>
      <c r="G873">
        <v>30</v>
      </c>
      <c r="H873" s="1">
        <f t="shared" si="13"/>
        <v>45016</v>
      </c>
      <c r="I873" t="s">
        <v>15</v>
      </c>
      <c r="J873" s="1">
        <v>44099</v>
      </c>
      <c r="K873" t="s">
        <v>39</v>
      </c>
      <c r="L873" s="3">
        <v>5.3499999999999999E-2</v>
      </c>
      <c r="M873" t="s">
        <v>29</v>
      </c>
      <c r="N873" t="s">
        <v>30</v>
      </c>
      <c r="O873">
        <v>0</v>
      </c>
      <c r="P873" s="1">
        <v>46022</v>
      </c>
      <c r="R873" s="7"/>
      <c r="S873" s="7"/>
    </row>
    <row r="874" spans="1:19" x14ac:dyDescent="0.3">
      <c r="A874" t="s">
        <v>922</v>
      </c>
      <c r="B874" t="s">
        <v>24</v>
      </c>
      <c r="C874" t="s">
        <v>28</v>
      </c>
      <c r="D874" s="5">
        <v>22208</v>
      </c>
      <c r="E874">
        <v>13848.07</v>
      </c>
      <c r="F874" t="s">
        <v>14</v>
      </c>
      <c r="G874">
        <v>60</v>
      </c>
      <c r="H874" s="1">
        <f t="shared" si="13"/>
        <v>46446</v>
      </c>
      <c r="I874" t="s">
        <v>15</v>
      </c>
      <c r="J874" s="1">
        <v>44594</v>
      </c>
      <c r="K874" t="s">
        <v>35</v>
      </c>
      <c r="L874" s="3">
        <v>4.4800000000000006E-2</v>
      </c>
      <c r="M874" t="s">
        <v>29</v>
      </c>
      <c r="N874" t="s">
        <v>30</v>
      </c>
      <c r="O874">
        <v>0</v>
      </c>
      <c r="P874" s="1">
        <v>46022</v>
      </c>
      <c r="R874" s="7"/>
      <c r="S874" s="7"/>
    </row>
    <row r="875" spans="1:19" x14ac:dyDescent="0.3">
      <c r="A875" t="s">
        <v>923</v>
      </c>
      <c r="B875" t="s">
        <v>12</v>
      </c>
      <c r="C875" t="s">
        <v>13</v>
      </c>
      <c r="D875" s="5">
        <v>3151097</v>
      </c>
      <c r="E875">
        <v>1453650.29</v>
      </c>
      <c r="F875" t="s">
        <v>48</v>
      </c>
      <c r="G875">
        <v>66</v>
      </c>
      <c r="H875" s="1">
        <f t="shared" si="13"/>
        <v>47848</v>
      </c>
      <c r="I875" t="s">
        <v>15</v>
      </c>
      <c r="J875" s="1">
        <v>45826</v>
      </c>
      <c r="K875" t="s">
        <v>56</v>
      </c>
      <c r="L875" s="3">
        <v>2.7000000000000003E-2</v>
      </c>
      <c r="M875" t="s">
        <v>17</v>
      </c>
      <c r="N875" t="s">
        <v>26</v>
      </c>
      <c r="O875">
        <v>5351870.17</v>
      </c>
      <c r="P875" s="1">
        <v>46022</v>
      </c>
      <c r="R875" s="7"/>
      <c r="S875" s="7"/>
    </row>
    <row r="876" spans="1:19" x14ac:dyDescent="0.3">
      <c r="A876" t="s">
        <v>924</v>
      </c>
      <c r="B876" t="s">
        <v>24</v>
      </c>
      <c r="C876" t="s">
        <v>25</v>
      </c>
      <c r="D876" s="5">
        <v>249175</v>
      </c>
      <c r="E876">
        <v>100735.38</v>
      </c>
      <c r="F876" t="s">
        <v>14</v>
      </c>
      <c r="G876">
        <v>342</v>
      </c>
      <c r="H876" s="1">
        <f t="shared" si="13"/>
        <v>53843</v>
      </c>
      <c r="I876" t="s">
        <v>15</v>
      </c>
      <c r="J876" s="1">
        <v>43413</v>
      </c>
      <c r="K876" t="s">
        <v>16</v>
      </c>
      <c r="L876" s="3">
        <v>0.10349999999999999</v>
      </c>
      <c r="M876" t="s">
        <v>17</v>
      </c>
      <c r="N876" t="s">
        <v>26</v>
      </c>
      <c r="O876">
        <v>299760.40000000002</v>
      </c>
      <c r="P876" s="1">
        <v>46022</v>
      </c>
      <c r="R876" s="7"/>
      <c r="S876" s="7"/>
    </row>
    <row r="877" spans="1:19" x14ac:dyDescent="0.3">
      <c r="A877" t="s">
        <v>925</v>
      </c>
      <c r="B877" t="s">
        <v>37</v>
      </c>
      <c r="C877" t="s">
        <v>74</v>
      </c>
      <c r="D877" s="5">
        <v>228315403</v>
      </c>
      <c r="E877">
        <v>48891830.329999998</v>
      </c>
      <c r="F877" t="s">
        <v>14</v>
      </c>
      <c r="G877">
        <v>180</v>
      </c>
      <c r="H877" s="1">
        <f t="shared" si="13"/>
        <v>50040</v>
      </c>
      <c r="I877" t="s">
        <v>15</v>
      </c>
      <c r="J877" s="1">
        <v>44537</v>
      </c>
      <c r="K877" t="s">
        <v>22</v>
      </c>
      <c r="L877" s="3">
        <v>4.1799999999999997E-2</v>
      </c>
      <c r="M877" t="s">
        <v>17</v>
      </c>
      <c r="N877" t="s">
        <v>18</v>
      </c>
      <c r="O877">
        <v>402164432.39999998</v>
      </c>
      <c r="P877" s="1">
        <v>46022</v>
      </c>
      <c r="R877" s="7"/>
      <c r="S877" s="7"/>
    </row>
    <row r="878" spans="1:19" x14ac:dyDescent="0.3">
      <c r="A878" t="s">
        <v>926</v>
      </c>
      <c r="B878" t="s">
        <v>24</v>
      </c>
      <c r="C878" t="s">
        <v>25</v>
      </c>
      <c r="D878" s="5">
        <v>288267</v>
      </c>
      <c r="E878">
        <v>130460.44</v>
      </c>
      <c r="F878" t="s">
        <v>14</v>
      </c>
      <c r="G878">
        <v>60</v>
      </c>
      <c r="H878" s="1">
        <f t="shared" si="13"/>
        <v>47391</v>
      </c>
      <c r="I878" t="s">
        <v>15</v>
      </c>
      <c r="J878" s="1">
        <v>45560</v>
      </c>
      <c r="K878" t="s">
        <v>16</v>
      </c>
      <c r="L878" s="3">
        <v>8.8900000000000007E-2</v>
      </c>
      <c r="M878" t="s">
        <v>17</v>
      </c>
      <c r="N878" t="s">
        <v>26</v>
      </c>
      <c r="O878">
        <v>345724.82</v>
      </c>
      <c r="P878" s="1">
        <v>46022</v>
      </c>
      <c r="R878" s="7"/>
      <c r="S878" s="7"/>
    </row>
    <row r="879" spans="1:19" x14ac:dyDescent="0.3">
      <c r="A879" t="s">
        <v>927</v>
      </c>
      <c r="B879" t="s">
        <v>12</v>
      </c>
      <c r="C879" t="s">
        <v>63</v>
      </c>
      <c r="D879" s="5">
        <v>3448972</v>
      </c>
      <c r="E879">
        <v>849808.64</v>
      </c>
      <c r="F879" t="s">
        <v>48</v>
      </c>
      <c r="G879">
        <v>60</v>
      </c>
      <c r="H879" s="1">
        <f t="shared" si="13"/>
        <v>46660</v>
      </c>
      <c r="I879" t="s">
        <v>15</v>
      </c>
      <c r="J879" s="1">
        <v>44814</v>
      </c>
      <c r="K879" t="s">
        <v>16</v>
      </c>
      <c r="L879" s="3">
        <v>9.4399999999999998E-2</v>
      </c>
      <c r="M879" t="s">
        <v>29</v>
      </c>
      <c r="N879" t="s">
        <v>30</v>
      </c>
      <c r="O879">
        <v>0</v>
      </c>
      <c r="P879" s="1">
        <v>46022</v>
      </c>
      <c r="R879" s="7"/>
      <c r="S879" s="7"/>
    </row>
    <row r="880" spans="1:19" x14ac:dyDescent="0.3">
      <c r="A880" t="s">
        <v>928</v>
      </c>
      <c r="B880" t="s">
        <v>20</v>
      </c>
      <c r="C880" t="s">
        <v>51</v>
      </c>
      <c r="D880" s="5">
        <v>4226066</v>
      </c>
      <c r="E880">
        <v>3215736.51</v>
      </c>
      <c r="F880" t="s">
        <v>48</v>
      </c>
      <c r="G880">
        <v>60</v>
      </c>
      <c r="H880" s="1">
        <f t="shared" si="13"/>
        <v>46783</v>
      </c>
      <c r="I880" t="s">
        <v>15</v>
      </c>
      <c r="J880" s="1">
        <v>44937</v>
      </c>
      <c r="K880" t="s">
        <v>39</v>
      </c>
      <c r="L880" s="3">
        <v>6.7299999999999999E-2</v>
      </c>
      <c r="M880" t="s">
        <v>17</v>
      </c>
      <c r="N880" t="s">
        <v>54</v>
      </c>
      <c r="O880">
        <v>8210703.8399999999</v>
      </c>
      <c r="P880" s="1">
        <v>46022</v>
      </c>
      <c r="R880" s="7"/>
      <c r="S880" s="7"/>
    </row>
    <row r="881" spans="1:19" x14ac:dyDescent="0.3">
      <c r="A881" t="s">
        <v>929</v>
      </c>
      <c r="B881" t="s">
        <v>24</v>
      </c>
      <c r="C881" t="s">
        <v>32</v>
      </c>
      <c r="D881" s="5">
        <v>49078</v>
      </c>
      <c r="E881">
        <v>14132.03</v>
      </c>
      <c r="F881" t="s">
        <v>33</v>
      </c>
      <c r="G881">
        <v>162</v>
      </c>
      <c r="H881" s="1">
        <f t="shared" si="13"/>
        <v>46387</v>
      </c>
      <c r="I881" t="s">
        <v>15</v>
      </c>
      <c r="J881" s="1">
        <v>41444</v>
      </c>
      <c r="K881" t="s">
        <v>35</v>
      </c>
      <c r="L881" s="3">
        <v>4.1299999999999996E-2</v>
      </c>
      <c r="M881" t="s">
        <v>29</v>
      </c>
      <c r="N881" t="s">
        <v>30</v>
      </c>
      <c r="O881">
        <v>0</v>
      </c>
      <c r="P881" s="1">
        <v>46022</v>
      </c>
      <c r="R881" s="7"/>
      <c r="S881" s="7"/>
    </row>
    <row r="882" spans="1:19" x14ac:dyDescent="0.3">
      <c r="A882" t="s">
        <v>930</v>
      </c>
      <c r="B882" t="s">
        <v>24</v>
      </c>
      <c r="C882" t="s">
        <v>28</v>
      </c>
      <c r="D882" s="5">
        <v>39864</v>
      </c>
      <c r="E882">
        <v>6087.58</v>
      </c>
      <c r="F882" t="s">
        <v>33</v>
      </c>
      <c r="G882">
        <v>168</v>
      </c>
      <c r="H882" s="1">
        <f t="shared" si="13"/>
        <v>45838</v>
      </c>
      <c r="I882" t="s">
        <v>15</v>
      </c>
      <c r="J882" s="1">
        <v>40701</v>
      </c>
      <c r="K882" t="s">
        <v>39</v>
      </c>
      <c r="L882" s="3">
        <v>7.9199999999999993E-2</v>
      </c>
      <c r="M882" t="s">
        <v>29</v>
      </c>
      <c r="N882" t="s">
        <v>30</v>
      </c>
      <c r="O882">
        <v>0</v>
      </c>
      <c r="P882" s="1">
        <v>46022</v>
      </c>
      <c r="R882" s="7"/>
      <c r="S882" s="7"/>
    </row>
    <row r="883" spans="1:19" x14ac:dyDescent="0.3">
      <c r="A883" t="s">
        <v>931</v>
      </c>
      <c r="B883" t="s">
        <v>24</v>
      </c>
      <c r="C883" t="s">
        <v>41</v>
      </c>
      <c r="D883" s="5">
        <v>86841</v>
      </c>
      <c r="E883">
        <v>51855.11</v>
      </c>
      <c r="F883" t="s">
        <v>14</v>
      </c>
      <c r="G883">
        <v>174</v>
      </c>
      <c r="H883" s="1">
        <f t="shared" si="13"/>
        <v>50617</v>
      </c>
      <c r="I883" t="s">
        <v>15</v>
      </c>
      <c r="J883" s="1">
        <v>45302</v>
      </c>
      <c r="K883" t="s">
        <v>39</v>
      </c>
      <c r="L883" s="3">
        <v>8.6899999999999991E-2</v>
      </c>
      <c r="M883" t="s">
        <v>17</v>
      </c>
      <c r="N883" t="s">
        <v>42</v>
      </c>
      <c r="O883">
        <v>88488.78</v>
      </c>
      <c r="P883" s="1">
        <v>46022</v>
      </c>
      <c r="R883" s="7"/>
      <c r="S883" s="7"/>
    </row>
    <row r="884" spans="1:19" x14ac:dyDescent="0.3">
      <c r="A884" t="s">
        <v>932</v>
      </c>
      <c r="B884" t="s">
        <v>24</v>
      </c>
      <c r="C884" t="s">
        <v>25</v>
      </c>
      <c r="D884" s="5">
        <v>317779</v>
      </c>
      <c r="E884">
        <v>202014.53</v>
      </c>
      <c r="F884" t="s">
        <v>14</v>
      </c>
      <c r="G884">
        <v>108</v>
      </c>
      <c r="H884" s="1">
        <f t="shared" si="13"/>
        <v>47452</v>
      </c>
      <c r="I884" t="s">
        <v>15</v>
      </c>
      <c r="J884" s="1">
        <v>44153</v>
      </c>
      <c r="K884" t="s">
        <v>22</v>
      </c>
      <c r="L884" s="3">
        <v>5.7999999999999996E-2</v>
      </c>
      <c r="M884" t="s">
        <v>17</v>
      </c>
      <c r="N884" t="s">
        <v>26</v>
      </c>
      <c r="O884">
        <v>411273.95</v>
      </c>
      <c r="P884" s="1">
        <v>46022</v>
      </c>
      <c r="R884" s="7"/>
      <c r="S884" s="7"/>
    </row>
    <row r="885" spans="1:19" x14ac:dyDescent="0.3">
      <c r="A885" t="s">
        <v>933</v>
      </c>
      <c r="B885" t="s">
        <v>37</v>
      </c>
      <c r="C885" t="s">
        <v>92</v>
      </c>
      <c r="D885" s="5">
        <v>480707218</v>
      </c>
      <c r="E885">
        <v>425292133.60000002</v>
      </c>
      <c r="F885" t="s">
        <v>14</v>
      </c>
      <c r="G885">
        <v>72</v>
      </c>
      <c r="H885" s="1">
        <f t="shared" si="13"/>
        <v>47026</v>
      </c>
      <c r="I885" t="s">
        <v>15</v>
      </c>
      <c r="J885" s="1">
        <v>44824</v>
      </c>
      <c r="K885" t="s">
        <v>22</v>
      </c>
      <c r="L885" s="3">
        <v>5.1900000000000002E-2</v>
      </c>
      <c r="M885" t="s">
        <v>17</v>
      </c>
      <c r="N885" t="s">
        <v>42</v>
      </c>
      <c r="O885">
        <v>604769511.89999998</v>
      </c>
      <c r="P885" s="1">
        <v>46022</v>
      </c>
      <c r="R885" s="7"/>
      <c r="S885" s="7"/>
    </row>
    <row r="886" spans="1:19" x14ac:dyDescent="0.3">
      <c r="A886" t="s">
        <v>934</v>
      </c>
      <c r="B886" t="s">
        <v>37</v>
      </c>
      <c r="C886" t="s">
        <v>78</v>
      </c>
      <c r="D886" s="5">
        <v>106493595</v>
      </c>
      <c r="E886">
        <v>65949721.149999999</v>
      </c>
      <c r="F886" t="s">
        <v>48</v>
      </c>
      <c r="G886">
        <v>78</v>
      </c>
      <c r="H886" s="1">
        <f t="shared" si="13"/>
        <v>45443</v>
      </c>
      <c r="I886" t="s">
        <v>15</v>
      </c>
      <c r="J886" s="1">
        <v>43061</v>
      </c>
      <c r="K886" t="s">
        <v>22</v>
      </c>
      <c r="L886" s="3">
        <v>4.5999999999999999E-2</v>
      </c>
      <c r="M886" t="s">
        <v>17</v>
      </c>
      <c r="N886" t="s">
        <v>26</v>
      </c>
      <c r="O886">
        <v>134649554</v>
      </c>
      <c r="P886" s="1">
        <v>46022</v>
      </c>
      <c r="R886" s="7"/>
      <c r="S886" s="7"/>
    </row>
    <row r="887" spans="1:19" x14ac:dyDescent="0.3">
      <c r="A887" t="s">
        <v>935</v>
      </c>
      <c r="B887" t="s">
        <v>24</v>
      </c>
      <c r="C887" t="s">
        <v>41</v>
      </c>
      <c r="D887" s="5">
        <v>95629</v>
      </c>
      <c r="E887">
        <v>39296.959999999999</v>
      </c>
      <c r="F887" t="s">
        <v>14</v>
      </c>
      <c r="G887">
        <v>246</v>
      </c>
      <c r="H887" s="1">
        <f t="shared" si="13"/>
        <v>50801</v>
      </c>
      <c r="I887" t="s">
        <v>15</v>
      </c>
      <c r="J887" s="1">
        <v>43311</v>
      </c>
      <c r="K887" t="s">
        <v>35</v>
      </c>
      <c r="L887" s="3">
        <v>4.2000000000000003E-2</v>
      </c>
      <c r="M887" t="s">
        <v>17</v>
      </c>
      <c r="N887" t="s">
        <v>42</v>
      </c>
      <c r="O887">
        <v>119074.96</v>
      </c>
      <c r="P887" s="1">
        <v>46022</v>
      </c>
      <c r="R887" s="7"/>
      <c r="S887" s="7"/>
    </row>
    <row r="888" spans="1:19" x14ac:dyDescent="0.3">
      <c r="A888" t="s">
        <v>936</v>
      </c>
      <c r="B888" t="s">
        <v>12</v>
      </c>
      <c r="C888" t="s">
        <v>61</v>
      </c>
      <c r="D888" s="5">
        <v>49746145</v>
      </c>
      <c r="E888">
        <v>40926685.770000003</v>
      </c>
      <c r="F888" t="s">
        <v>33</v>
      </c>
      <c r="G888">
        <v>12</v>
      </c>
      <c r="H888" s="1">
        <f t="shared" si="13"/>
        <v>45077</v>
      </c>
      <c r="I888" t="s">
        <v>70</v>
      </c>
      <c r="J888" s="1">
        <v>44701</v>
      </c>
      <c r="K888" t="s">
        <v>22</v>
      </c>
      <c r="L888" s="3">
        <v>5.6299999999999996E-2</v>
      </c>
      <c r="M888" t="s">
        <v>29</v>
      </c>
      <c r="N888" t="s">
        <v>30</v>
      </c>
      <c r="O888">
        <v>0</v>
      </c>
      <c r="P888" s="1">
        <v>46022</v>
      </c>
      <c r="R888" s="7"/>
      <c r="S888" s="7"/>
    </row>
    <row r="889" spans="1:19" x14ac:dyDescent="0.3">
      <c r="A889" t="s">
        <v>937</v>
      </c>
      <c r="B889" t="s">
        <v>24</v>
      </c>
      <c r="C889" t="s">
        <v>25</v>
      </c>
      <c r="D889" s="5">
        <v>740551</v>
      </c>
      <c r="E889">
        <v>434148.49</v>
      </c>
      <c r="F889" t="s">
        <v>14</v>
      </c>
      <c r="G889">
        <v>222</v>
      </c>
      <c r="H889" s="1">
        <f t="shared" si="13"/>
        <v>48883</v>
      </c>
      <c r="I889" t="s">
        <v>15</v>
      </c>
      <c r="J889" s="1">
        <v>42104</v>
      </c>
      <c r="K889" t="s">
        <v>22</v>
      </c>
      <c r="L889" s="3">
        <v>4.3299999999999998E-2</v>
      </c>
      <c r="M889" t="s">
        <v>17</v>
      </c>
      <c r="N889" t="s">
        <v>26</v>
      </c>
      <c r="O889">
        <v>1057373.17</v>
      </c>
      <c r="P889" s="1">
        <v>46022</v>
      </c>
      <c r="R889" s="7"/>
      <c r="S889" s="7"/>
    </row>
    <row r="890" spans="1:19" x14ac:dyDescent="0.3">
      <c r="A890" t="s">
        <v>938</v>
      </c>
      <c r="B890" t="s">
        <v>37</v>
      </c>
      <c r="C890" t="s">
        <v>38</v>
      </c>
      <c r="D890" s="5">
        <v>490760429</v>
      </c>
      <c r="E890">
        <v>84092906.680000007</v>
      </c>
      <c r="F890" t="s">
        <v>48</v>
      </c>
      <c r="G890">
        <v>270</v>
      </c>
      <c r="H890" s="1">
        <f t="shared" si="13"/>
        <v>48669</v>
      </c>
      <c r="I890" t="s">
        <v>15</v>
      </c>
      <c r="J890" s="1">
        <v>40449</v>
      </c>
      <c r="K890" t="s">
        <v>22</v>
      </c>
      <c r="L890" s="3">
        <v>5.2000000000000005E-2</v>
      </c>
      <c r="M890" t="s">
        <v>17</v>
      </c>
      <c r="N890" t="s">
        <v>18</v>
      </c>
      <c r="O890">
        <v>926015085.60000002</v>
      </c>
      <c r="P890" s="1">
        <v>46022</v>
      </c>
      <c r="R890" s="7"/>
      <c r="S890" s="7"/>
    </row>
    <row r="891" spans="1:19" x14ac:dyDescent="0.3">
      <c r="A891" t="s">
        <v>939</v>
      </c>
      <c r="B891" t="s">
        <v>24</v>
      </c>
      <c r="C891" t="s">
        <v>28</v>
      </c>
      <c r="D891" s="5">
        <v>28907</v>
      </c>
      <c r="E891">
        <v>17612.310000000001</v>
      </c>
      <c r="F891" t="s">
        <v>48</v>
      </c>
      <c r="G891">
        <v>96</v>
      </c>
      <c r="H891" s="1">
        <f t="shared" si="13"/>
        <v>47057</v>
      </c>
      <c r="I891" t="s">
        <v>15</v>
      </c>
      <c r="J891" s="1">
        <v>44129</v>
      </c>
      <c r="K891" t="s">
        <v>22</v>
      </c>
      <c r="L891" s="3">
        <v>4.5199999999999997E-2</v>
      </c>
      <c r="M891" t="s">
        <v>29</v>
      </c>
      <c r="N891" t="s">
        <v>30</v>
      </c>
      <c r="O891">
        <v>0</v>
      </c>
      <c r="P891" s="1">
        <v>46022</v>
      </c>
      <c r="R891" s="7"/>
      <c r="S891" s="7"/>
    </row>
    <row r="892" spans="1:19" x14ac:dyDescent="0.3">
      <c r="A892" t="s">
        <v>940</v>
      </c>
      <c r="B892" t="s">
        <v>12</v>
      </c>
      <c r="C892" t="s">
        <v>63</v>
      </c>
      <c r="D892" s="5">
        <v>13717547</v>
      </c>
      <c r="E892">
        <v>12581963.41</v>
      </c>
      <c r="F892" t="s">
        <v>48</v>
      </c>
      <c r="G892">
        <v>288</v>
      </c>
      <c r="H892" s="1">
        <f t="shared" si="13"/>
        <v>52170</v>
      </c>
      <c r="I892" t="s">
        <v>15</v>
      </c>
      <c r="J892" s="1">
        <v>43378</v>
      </c>
      <c r="K892" t="s">
        <v>22</v>
      </c>
      <c r="L892" s="3">
        <v>5.0700000000000002E-2</v>
      </c>
      <c r="M892" t="s">
        <v>29</v>
      </c>
      <c r="N892" t="s">
        <v>30</v>
      </c>
      <c r="O892">
        <v>0</v>
      </c>
      <c r="P892" s="1">
        <v>46022</v>
      </c>
      <c r="R892" s="7"/>
      <c r="S892" s="7"/>
    </row>
    <row r="893" spans="1:19" x14ac:dyDescent="0.3">
      <c r="A893" t="s">
        <v>941</v>
      </c>
      <c r="B893" t="s">
        <v>24</v>
      </c>
      <c r="C893" t="s">
        <v>28</v>
      </c>
      <c r="D893" s="5">
        <v>22413</v>
      </c>
      <c r="E893">
        <v>10235.51</v>
      </c>
      <c r="F893" t="s">
        <v>48</v>
      </c>
      <c r="G893">
        <v>144</v>
      </c>
      <c r="H893" s="1">
        <f t="shared" si="13"/>
        <v>48304</v>
      </c>
      <c r="I893" t="s">
        <v>15</v>
      </c>
      <c r="J893" s="1">
        <v>43892</v>
      </c>
      <c r="K893" t="s">
        <v>39</v>
      </c>
      <c r="L893" s="3">
        <v>4.9000000000000002E-2</v>
      </c>
      <c r="M893" t="s">
        <v>29</v>
      </c>
      <c r="N893" t="s">
        <v>30</v>
      </c>
      <c r="O893">
        <v>0</v>
      </c>
      <c r="P893" s="1">
        <v>46022</v>
      </c>
      <c r="R893" s="7"/>
      <c r="S893" s="7"/>
    </row>
    <row r="894" spans="1:19" x14ac:dyDescent="0.3">
      <c r="A894" t="s">
        <v>942</v>
      </c>
      <c r="B894" t="s">
        <v>24</v>
      </c>
      <c r="C894" t="s">
        <v>32</v>
      </c>
      <c r="D894" s="5">
        <v>30084</v>
      </c>
      <c r="E894">
        <v>11031.78</v>
      </c>
      <c r="F894" t="s">
        <v>33</v>
      </c>
      <c r="G894">
        <v>210</v>
      </c>
      <c r="H894" s="1">
        <f t="shared" si="13"/>
        <v>51409</v>
      </c>
      <c r="I894" t="s">
        <v>15</v>
      </c>
      <c r="J894" s="1">
        <v>44988</v>
      </c>
      <c r="K894" t="s">
        <v>16</v>
      </c>
      <c r="L894" s="3">
        <v>0.1174</v>
      </c>
      <c r="M894" t="s">
        <v>29</v>
      </c>
      <c r="N894" t="s">
        <v>30</v>
      </c>
      <c r="O894">
        <v>0</v>
      </c>
      <c r="P894" s="1">
        <v>46022</v>
      </c>
      <c r="R894" s="7"/>
      <c r="S894" s="7"/>
    </row>
    <row r="895" spans="1:19" x14ac:dyDescent="0.3">
      <c r="A895" t="s">
        <v>943</v>
      </c>
      <c r="B895" t="s">
        <v>24</v>
      </c>
      <c r="C895" t="s">
        <v>41</v>
      </c>
      <c r="D895" s="5">
        <v>16577</v>
      </c>
      <c r="E895">
        <v>3798.24</v>
      </c>
      <c r="F895" t="s">
        <v>14</v>
      </c>
      <c r="G895">
        <v>132</v>
      </c>
      <c r="H895" s="1">
        <f t="shared" si="13"/>
        <v>45565</v>
      </c>
      <c r="I895" t="s">
        <v>15</v>
      </c>
      <c r="J895" s="1">
        <v>41529</v>
      </c>
      <c r="K895" t="s">
        <v>35</v>
      </c>
      <c r="L895" s="3">
        <v>3.6799999999999999E-2</v>
      </c>
      <c r="M895" t="s">
        <v>17</v>
      </c>
      <c r="N895" t="s">
        <v>42</v>
      </c>
      <c r="O895">
        <v>19423.55</v>
      </c>
      <c r="P895" s="1">
        <v>46022</v>
      </c>
      <c r="R895" s="7"/>
      <c r="S895" s="7"/>
    </row>
    <row r="896" spans="1:19" x14ac:dyDescent="0.3">
      <c r="A896" t="s">
        <v>944</v>
      </c>
      <c r="B896" t="s">
        <v>24</v>
      </c>
      <c r="C896" t="s">
        <v>25</v>
      </c>
      <c r="D896" s="5">
        <v>660109</v>
      </c>
      <c r="E896">
        <v>155984.38</v>
      </c>
      <c r="F896" t="s">
        <v>14</v>
      </c>
      <c r="G896">
        <v>216</v>
      </c>
      <c r="H896" s="1">
        <f t="shared" si="13"/>
        <v>47299</v>
      </c>
      <c r="I896" t="s">
        <v>15</v>
      </c>
      <c r="J896" s="1">
        <v>40715</v>
      </c>
      <c r="K896" t="s">
        <v>22</v>
      </c>
      <c r="L896" s="3">
        <v>5.5800000000000002E-2</v>
      </c>
      <c r="M896" t="s">
        <v>17</v>
      </c>
      <c r="N896" t="s">
        <v>26</v>
      </c>
      <c r="O896">
        <v>830776.37</v>
      </c>
      <c r="P896" s="1">
        <v>46022</v>
      </c>
      <c r="R896" s="7"/>
      <c r="S896" s="7"/>
    </row>
    <row r="897" spans="1:19" x14ac:dyDescent="0.3">
      <c r="A897" t="s">
        <v>945</v>
      </c>
      <c r="B897" t="s">
        <v>12</v>
      </c>
      <c r="C897" t="s">
        <v>13</v>
      </c>
      <c r="D897" s="5">
        <v>49077714</v>
      </c>
      <c r="E897">
        <v>24023263.02</v>
      </c>
      <c r="F897" t="s">
        <v>48</v>
      </c>
      <c r="G897">
        <v>66</v>
      </c>
      <c r="H897" s="1">
        <f t="shared" si="13"/>
        <v>46053</v>
      </c>
      <c r="I897" t="s">
        <v>15</v>
      </c>
      <c r="J897" s="1">
        <v>44029</v>
      </c>
      <c r="K897" t="s">
        <v>35</v>
      </c>
      <c r="L897" s="3">
        <v>1.84E-2</v>
      </c>
      <c r="M897" t="s">
        <v>17</v>
      </c>
      <c r="N897" t="s">
        <v>18</v>
      </c>
      <c r="O897">
        <v>63624872.049999997</v>
      </c>
      <c r="P897" s="1">
        <v>46022</v>
      </c>
      <c r="R897" s="7"/>
      <c r="S897" s="7"/>
    </row>
    <row r="898" spans="1:19" x14ac:dyDescent="0.3">
      <c r="A898" t="s">
        <v>946</v>
      </c>
      <c r="B898" t="s">
        <v>24</v>
      </c>
      <c r="C898" t="s">
        <v>25</v>
      </c>
      <c r="D898" s="5">
        <v>271097</v>
      </c>
      <c r="E898">
        <v>172447.94</v>
      </c>
      <c r="F898" t="s">
        <v>14</v>
      </c>
      <c r="G898">
        <v>330</v>
      </c>
      <c r="H898" s="1">
        <f t="shared" ref="H898:H961" si="14">EOMONTH(J898,G898)</f>
        <v>55396</v>
      </c>
      <c r="I898" t="s">
        <v>15</v>
      </c>
      <c r="J898" s="1">
        <v>45343</v>
      </c>
      <c r="K898" t="s">
        <v>39</v>
      </c>
      <c r="L898" s="3">
        <v>9.4700000000000006E-2</v>
      </c>
      <c r="M898" t="s">
        <v>17</v>
      </c>
      <c r="N898" t="s">
        <v>26</v>
      </c>
      <c r="O898">
        <v>344834.9</v>
      </c>
      <c r="P898" s="1">
        <v>46022</v>
      </c>
      <c r="R898" s="7"/>
      <c r="S898" s="7"/>
    </row>
    <row r="899" spans="1:19" x14ac:dyDescent="0.3">
      <c r="A899" t="s">
        <v>947</v>
      </c>
      <c r="B899" t="s">
        <v>20</v>
      </c>
      <c r="C899" t="s">
        <v>51</v>
      </c>
      <c r="D899" s="5">
        <v>3973346</v>
      </c>
      <c r="E899">
        <v>685616.18</v>
      </c>
      <c r="F899" t="s">
        <v>48</v>
      </c>
      <c r="G899">
        <v>348</v>
      </c>
      <c r="H899" s="1">
        <f t="shared" si="14"/>
        <v>51897</v>
      </c>
      <c r="I899" t="s">
        <v>15</v>
      </c>
      <c r="J899" s="1">
        <v>41305</v>
      </c>
      <c r="K899" t="s">
        <v>39</v>
      </c>
      <c r="L899" s="3">
        <v>7.0199999999999999E-2</v>
      </c>
      <c r="M899" t="s">
        <v>17</v>
      </c>
      <c r="N899" t="s">
        <v>54</v>
      </c>
      <c r="O899">
        <v>7319842.2999999998</v>
      </c>
      <c r="P899" s="1">
        <v>46022</v>
      </c>
      <c r="R899" s="7"/>
      <c r="S899" s="7"/>
    </row>
    <row r="900" spans="1:19" x14ac:dyDescent="0.3">
      <c r="A900" t="s">
        <v>948</v>
      </c>
      <c r="B900" t="s">
        <v>24</v>
      </c>
      <c r="C900" t="s">
        <v>25</v>
      </c>
      <c r="D900" s="5">
        <v>917109</v>
      </c>
      <c r="E900">
        <v>867228.94</v>
      </c>
      <c r="F900" t="s">
        <v>14</v>
      </c>
      <c r="G900">
        <v>276</v>
      </c>
      <c r="H900" s="1">
        <f t="shared" si="14"/>
        <v>48944</v>
      </c>
      <c r="I900" t="s">
        <v>15</v>
      </c>
      <c r="J900" s="1">
        <v>40515</v>
      </c>
      <c r="K900" t="s">
        <v>16</v>
      </c>
      <c r="L900" s="3">
        <v>0.1002</v>
      </c>
      <c r="M900" t="s">
        <v>17</v>
      </c>
      <c r="N900" t="s">
        <v>26</v>
      </c>
      <c r="O900">
        <v>1090030.95</v>
      </c>
      <c r="P900" s="1">
        <v>46022</v>
      </c>
      <c r="R900" s="7"/>
      <c r="S900" s="7"/>
    </row>
    <row r="901" spans="1:19" x14ac:dyDescent="0.3">
      <c r="A901" t="s">
        <v>949</v>
      </c>
      <c r="B901" t="s">
        <v>24</v>
      </c>
      <c r="C901" t="s">
        <v>41</v>
      </c>
      <c r="D901" s="5">
        <v>94933</v>
      </c>
      <c r="E901">
        <v>74011.8</v>
      </c>
      <c r="F901" t="s">
        <v>14</v>
      </c>
      <c r="G901">
        <v>174</v>
      </c>
      <c r="H901" s="1">
        <f t="shared" si="14"/>
        <v>50586</v>
      </c>
      <c r="I901" t="s">
        <v>15</v>
      </c>
      <c r="J901" s="1">
        <v>45275</v>
      </c>
      <c r="K901" t="s">
        <v>22</v>
      </c>
      <c r="L901" s="3">
        <v>7.3200000000000001E-2</v>
      </c>
      <c r="M901" t="s">
        <v>17</v>
      </c>
      <c r="N901" t="s">
        <v>42</v>
      </c>
      <c r="O901">
        <v>106400.05</v>
      </c>
      <c r="P901" s="1">
        <v>46022</v>
      </c>
      <c r="R901" s="7"/>
      <c r="S901" s="7"/>
    </row>
    <row r="902" spans="1:19" x14ac:dyDescent="0.3">
      <c r="A902" t="s">
        <v>950</v>
      </c>
      <c r="B902" t="s">
        <v>24</v>
      </c>
      <c r="C902" t="s">
        <v>25</v>
      </c>
      <c r="D902" s="5">
        <v>964122</v>
      </c>
      <c r="E902" s="4">
        <v>605431.55000000005</v>
      </c>
      <c r="F902" t="s">
        <v>14</v>
      </c>
      <c r="G902">
        <v>210</v>
      </c>
      <c r="H902" s="1">
        <f t="shared" si="14"/>
        <v>50464</v>
      </c>
      <c r="I902" t="s">
        <v>15</v>
      </c>
      <c r="J902" s="1">
        <v>44068</v>
      </c>
      <c r="K902" t="s">
        <v>16</v>
      </c>
      <c r="L902" s="3">
        <v>0.1275</v>
      </c>
      <c r="M902" t="s">
        <v>17</v>
      </c>
      <c r="N902" t="s">
        <v>26</v>
      </c>
      <c r="O902">
        <v>1291220.3899999999</v>
      </c>
      <c r="P902" s="1">
        <v>46022</v>
      </c>
      <c r="R902" s="7"/>
      <c r="S902" s="7"/>
    </row>
    <row r="903" spans="1:19" x14ac:dyDescent="0.3">
      <c r="A903" t="s">
        <v>951</v>
      </c>
      <c r="B903" t="s">
        <v>24</v>
      </c>
      <c r="C903" t="s">
        <v>41</v>
      </c>
      <c r="D903" s="5">
        <v>56931</v>
      </c>
      <c r="E903">
        <v>48140.87</v>
      </c>
      <c r="F903" t="s">
        <v>14</v>
      </c>
      <c r="G903">
        <v>288</v>
      </c>
      <c r="H903" s="1">
        <f t="shared" si="14"/>
        <v>50525</v>
      </c>
      <c r="I903" t="s">
        <v>15</v>
      </c>
      <c r="J903" s="1">
        <v>41743</v>
      </c>
      <c r="K903" t="s">
        <v>56</v>
      </c>
      <c r="L903" s="3">
        <v>3.6299999999999999E-2</v>
      </c>
      <c r="M903" t="s">
        <v>17</v>
      </c>
      <c r="N903" t="s">
        <v>42</v>
      </c>
      <c r="O903">
        <v>63392.91</v>
      </c>
      <c r="P903" s="1">
        <v>46022</v>
      </c>
      <c r="R903" s="7"/>
      <c r="S903" s="7"/>
    </row>
    <row r="904" spans="1:19" x14ac:dyDescent="0.3">
      <c r="A904" t="s">
        <v>952</v>
      </c>
      <c r="B904" t="s">
        <v>24</v>
      </c>
      <c r="C904" t="s">
        <v>28</v>
      </c>
      <c r="D904" s="5">
        <v>48888</v>
      </c>
      <c r="E904">
        <v>8416.9699999999993</v>
      </c>
      <c r="F904" t="s">
        <v>33</v>
      </c>
      <c r="G904">
        <v>324</v>
      </c>
      <c r="H904" s="1">
        <f t="shared" si="14"/>
        <v>52017</v>
      </c>
      <c r="I904" t="s">
        <v>15</v>
      </c>
      <c r="J904" s="1">
        <v>42142</v>
      </c>
      <c r="K904" t="s">
        <v>39</v>
      </c>
      <c r="L904" s="3">
        <v>6.25E-2</v>
      </c>
      <c r="M904" t="s">
        <v>29</v>
      </c>
      <c r="N904" t="s">
        <v>30</v>
      </c>
      <c r="O904">
        <v>0</v>
      </c>
      <c r="P904" s="1">
        <v>46022</v>
      </c>
      <c r="R904" s="7"/>
      <c r="S904" s="7"/>
    </row>
    <row r="905" spans="1:19" x14ac:dyDescent="0.3">
      <c r="A905" t="s">
        <v>953</v>
      </c>
      <c r="B905" t="s">
        <v>24</v>
      </c>
      <c r="C905" t="s">
        <v>32</v>
      </c>
      <c r="D905" s="5">
        <v>38108</v>
      </c>
      <c r="E905">
        <v>20165.14</v>
      </c>
      <c r="F905" t="s">
        <v>33</v>
      </c>
      <c r="G905">
        <v>90</v>
      </c>
      <c r="H905" s="1">
        <f t="shared" si="14"/>
        <v>46538</v>
      </c>
      <c r="I905" t="s">
        <v>15</v>
      </c>
      <c r="J905" s="1">
        <v>43791</v>
      </c>
      <c r="K905" t="s">
        <v>56</v>
      </c>
      <c r="L905" s="3">
        <v>2.7900000000000001E-2</v>
      </c>
      <c r="M905" t="s">
        <v>29</v>
      </c>
      <c r="N905" t="s">
        <v>30</v>
      </c>
      <c r="O905">
        <v>0</v>
      </c>
      <c r="P905" s="1">
        <v>46022</v>
      </c>
      <c r="R905" s="7"/>
      <c r="S905" s="7"/>
    </row>
    <row r="906" spans="1:19" x14ac:dyDescent="0.3">
      <c r="A906" t="s">
        <v>954</v>
      </c>
      <c r="B906" t="s">
        <v>20</v>
      </c>
      <c r="C906" t="s">
        <v>47</v>
      </c>
      <c r="D906" s="5">
        <v>850274</v>
      </c>
      <c r="E906">
        <v>567203.76</v>
      </c>
      <c r="F906" t="s">
        <v>48</v>
      </c>
      <c r="G906">
        <v>360</v>
      </c>
      <c r="H906" s="1">
        <f t="shared" si="14"/>
        <v>54331</v>
      </c>
      <c r="I906" t="s">
        <v>15</v>
      </c>
      <c r="J906" s="1">
        <v>43362</v>
      </c>
      <c r="K906" t="s">
        <v>16</v>
      </c>
      <c r="L906" s="3">
        <v>0.1026</v>
      </c>
      <c r="M906" t="s">
        <v>17</v>
      </c>
      <c r="N906" t="s">
        <v>18</v>
      </c>
      <c r="O906">
        <v>1522714.34</v>
      </c>
      <c r="P906" s="1">
        <v>46022</v>
      </c>
      <c r="R906" s="7"/>
      <c r="S906" s="7"/>
    </row>
    <row r="907" spans="1:19" x14ac:dyDescent="0.3">
      <c r="A907" t="s">
        <v>955</v>
      </c>
      <c r="B907" t="s">
        <v>24</v>
      </c>
      <c r="C907" t="s">
        <v>25</v>
      </c>
      <c r="D907" s="5">
        <v>529210</v>
      </c>
      <c r="E907">
        <v>447599.35</v>
      </c>
      <c r="F907" t="s">
        <v>14</v>
      </c>
      <c r="G907">
        <v>186</v>
      </c>
      <c r="H907" s="1">
        <f t="shared" si="14"/>
        <v>50071</v>
      </c>
      <c r="I907" t="s">
        <v>15</v>
      </c>
      <c r="J907" s="1">
        <v>44379</v>
      </c>
      <c r="K907" t="s">
        <v>22</v>
      </c>
      <c r="L907" s="3">
        <v>3.6600000000000001E-2</v>
      </c>
      <c r="M907" t="s">
        <v>17</v>
      </c>
      <c r="N907" t="s">
        <v>26</v>
      </c>
      <c r="O907">
        <v>752292.92</v>
      </c>
      <c r="P907" s="1">
        <v>46022</v>
      </c>
      <c r="R907" s="7"/>
      <c r="S907" s="7"/>
    </row>
    <row r="908" spans="1:19" x14ac:dyDescent="0.3">
      <c r="A908" t="s">
        <v>956</v>
      </c>
      <c r="B908" t="s">
        <v>12</v>
      </c>
      <c r="C908" t="s">
        <v>13</v>
      </c>
      <c r="D908" s="5">
        <v>36198228</v>
      </c>
      <c r="E908">
        <v>29144011.260000002</v>
      </c>
      <c r="F908" t="s">
        <v>14</v>
      </c>
      <c r="G908">
        <v>252</v>
      </c>
      <c r="H908" s="1">
        <f t="shared" si="14"/>
        <v>50040</v>
      </c>
      <c r="I908" t="s">
        <v>15</v>
      </c>
      <c r="J908" s="1">
        <v>42340</v>
      </c>
      <c r="K908" t="s">
        <v>39</v>
      </c>
      <c r="L908" s="3">
        <v>6.480000000000001E-2</v>
      </c>
      <c r="M908" t="s">
        <v>29</v>
      </c>
      <c r="N908" t="s">
        <v>30</v>
      </c>
      <c r="O908">
        <v>0</v>
      </c>
      <c r="P908" s="1">
        <v>46022</v>
      </c>
      <c r="R908" s="7"/>
      <c r="S908" s="7"/>
    </row>
    <row r="909" spans="1:19" x14ac:dyDescent="0.3">
      <c r="A909" t="s">
        <v>957</v>
      </c>
      <c r="B909" t="s">
        <v>24</v>
      </c>
      <c r="C909" t="s">
        <v>32</v>
      </c>
      <c r="D909" s="5">
        <v>13120</v>
      </c>
      <c r="E909">
        <v>4583.5200000000004</v>
      </c>
      <c r="F909" t="s">
        <v>33</v>
      </c>
      <c r="G909">
        <v>246</v>
      </c>
      <c r="H909" s="1">
        <f t="shared" si="14"/>
        <v>50040</v>
      </c>
      <c r="I909" t="s">
        <v>15</v>
      </c>
      <c r="J909" s="1">
        <v>42538</v>
      </c>
      <c r="K909" t="s">
        <v>39</v>
      </c>
      <c r="L909" s="3">
        <v>6.6699999999999995E-2</v>
      </c>
      <c r="M909" t="s">
        <v>29</v>
      </c>
      <c r="N909" t="s">
        <v>30</v>
      </c>
      <c r="O909">
        <v>0</v>
      </c>
      <c r="P909" s="1">
        <v>46022</v>
      </c>
      <c r="R909" s="7"/>
      <c r="S909" s="7"/>
    </row>
    <row r="910" spans="1:19" x14ac:dyDescent="0.3">
      <c r="A910" t="s">
        <v>958</v>
      </c>
      <c r="B910" t="s">
        <v>24</v>
      </c>
      <c r="C910" t="s">
        <v>41</v>
      </c>
      <c r="D910" s="5">
        <v>67655</v>
      </c>
      <c r="E910">
        <v>64055.57</v>
      </c>
      <c r="F910" t="s">
        <v>14</v>
      </c>
      <c r="G910">
        <v>258</v>
      </c>
      <c r="H910" s="1">
        <f t="shared" si="14"/>
        <v>48091</v>
      </c>
      <c r="I910" t="s">
        <v>15</v>
      </c>
      <c r="J910" s="1">
        <v>40232</v>
      </c>
      <c r="K910" t="s">
        <v>35</v>
      </c>
      <c r="L910" s="3">
        <v>4.8600000000000004E-2</v>
      </c>
      <c r="M910" t="s">
        <v>17</v>
      </c>
      <c r="N910" t="s">
        <v>42</v>
      </c>
      <c r="O910">
        <v>72675.48</v>
      </c>
      <c r="P910" s="1">
        <v>46022</v>
      </c>
      <c r="R910" s="7"/>
      <c r="S910" s="7"/>
    </row>
    <row r="911" spans="1:19" x14ac:dyDescent="0.3">
      <c r="A911" t="s">
        <v>959</v>
      </c>
      <c r="B911" t="s">
        <v>20</v>
      </c>
      <c r="C911" t="s">
        <v>21</v>
      </c>
      <c r="D911" s="5">
        <v>3349672</v>
      </c>
      <c r="E911">
        <v>709833.28</v>
      </c>
      <c r="F911" t="s">
        <v>33</v>
      </c>
      <c r="G911">
        <v>96</v>
      </c>
      <c r="H911" s="1">
        <f t="shared" si="14"/>
        <v>46934</v>
      </c>
      <c r="I911" t="s">
        <v>15</v>
      </c>
      <c r="J911" s="1">
        <v>43990</v>
      </c>
      <c r="K911" t="s">
        <v>56</v>
      </c>
      <c r="L911" s="3">
        <v>1.6399999999999998E-2</v>
      </c>
      <c r="M911" t="s">
        <v>17</v>
      </c>
      <c r="N911" t="s">
        <v>54</v>
      </c>
      <c r="O911">
        <v>4728386.37</v>
      </c>
      <c r="P911" s="1">
        <v>46022</v>
      </c>
      <c r="R911" s="7"/>
      <c r="S911" s="7"/>
    </row>
    <row r="912" spans="1:19" x14ac:dyDescent="0.3">
      <c r="A912" t="s">
        <v>960</v>
      </c>
      <c r="B912" t="s">
        <v>37</v>
      </c>
      <c r="C912" t="s">
        <v>92</v>
      </c>
      <c r="D912" s="5">
        <v>89722874</v>
      </c>
      <c r="E912">
        <v>79639840.870000005</v>
      </c>
      <c r="F912" t="s">
        <v>14</v>
      </c>
      <c r="G912">
        <v>60</v>
      </c>
      <c r="H912" s="1">
        <f t="shared" si="14"/>
        <v>47208</v>
      </c>
      <c r="I912" t="s">
        <v>15</v>
      </c>
      <c r="J912" s="1">
        <v>45358</v>
      </c>
      <c r="K912" t="s">
        <v>16</v>
      </c>
      <c r="L912" s="3">
        <v>0.1168</v>
      </c>
      <c r="M912" t="s">
        <v>17</v>
      </c>
      <c r="N912" t="s">
        <v>26</v>
      </c>
      <c r="O912">
        <v>108360862.90000001</v>
      </c>
      <c r="P912" s="1">
        <v>46022</v>
      </c>
      <c r="R912" s="7"/>
      <c r="S912" s="7"/>
    </row>
    <row r="913" spans="1:19" x14ac:dyDescent="0.3">
      <c r="A913" t="s">
        <v>961</v>
      </c>
      <c r="B913" t="s">
        <v>20</v>
      </c>
      <c r="C913" t="s">
        <v>47</v>
      </c>
      <c r="D913" s="5">
        <v>2847172</v>
      </c>
      <c r="E913">
        <v>2772708</v>
      </c>
      <c r="F913" t="s">
        <v>48</v>
      </c>
      <c r="G913">
        <v>294</v>
      </c>
      <c r="H913" s="1">
        <f t="shared" si="14"/>
        <v>54331</v>
      </c>
      <c r="I913" t="s">
        <v>15</v>
      </c>
      <c r="J913" s="1">
        <v>45376</v>
      </c>
      <c r="K913" t="s">
        <v>22</v>
      </c>
      <c r="L913" s="3">
        <v>6.5199999999999994E-2</v>
      </c>
      <c r="M913" t="s">
        <v>29</v>
      </c>
      <c r="N913" t="s">
        <v>30</v>
      </c>
      <c r="O913">
        <v>0</v>
      </c>
      <c r="P913" s="1">
        <v>46022</v>
      </c>
      <c r="R913" s="7"/>
      <c r="S913" s="7"/>
    </row>
    <row r="914" spans="1:19" x14ac:dyDescent="0.3">
      <c r="A914" t="s">
        <v>962</v>
      </c>
      <c r="B914" t="s">
        <v>24</v>
      </c>
      <c r="C914" t="s">
        <v>25</v>
      </c>
      <c r="D914" s="5">
        <v>794464</v>
      </c>
      <c r="E914">
        <v>206114.34</v>
      </c>
      <c r="F914" t="s">
        <v>14</v>
      </c>
      <c r="G914">
        <v>192</v>
      </c>
      <c r="H914" s="1">
        <f t="shared" si="14"/>
        <v>48852</v>
      </c>
      <c r="I914" t="s">
        <v>15</v>
      </c>
      <c r="J914" s="1">
        <v>43004</v>
      </c>
      <c r="K914" t="s">
        <v>35</v>
      </c>
      <c r="L914" s="3">
        <v>4.0399999999999998E-2</v>
      </c>
      <c r="M914" t="s">
        <v>17</v>
      </c>
      <c r="N914" t="s">
        <v>26</v>
      </c>
      <c r="O914">
        <v>983677.74</v>
      </c>
      <c r="P914" s="1">
        <v>46022</v>
      </c>
      <c r="R914" s="7"/>
      <c r="S914" s="7"/>
    </row>
    <row r="915" spans="1:19" x14ac:dyDescent="0.3">
      <c r="A915" t="s">
        <v>963</v>
      </c>
      <c r="B915" t="s">
        <v>24</v>
      </c>
      <c r="C915" t="s">
        <v>25</v>
      </c>
      <c r="D915" s="5">
        <v>549006</v>
      </c>
      <c r="E915">
        <v>411677.42</v>
      </c>
      <c r="F915" t="s">
        <v>14</v>
      </c>
      <c r="G915">
        <v>306</v>
      </c>
      <c r="H915" s="1">
        <f t="shared" si="14"/>
        <v>51532</v>
      </c>
      <c r="I915" t="s">
        <v>15</v>
      </c>
      <c r="J915" s="1">
        <v>42195</v>
      </c>
      <c r="K915" t="s">
        <v>22</v>
      </c>
      <c r="L915" s="3">
        <v>4.5899999999999996E-2</v>
      </c>
      <c r="M915" t="s">
        <v>17</v>
      </c>
      <c r="N915" t="s">
        <v>26</v>
      </c>
      <c r="O915">
        <v>675079.32</v>
      </c>
      <c r="P915" s="1">
        <v>46022</v>
      </c>
      <c r="R915" s="7"/>
      <c r="S915" s="7"/>
    </row>
    <row r="916" spans="1:19" x14ac:dyDescent="0.3">
      <c r="A916" t="s">
        <v>964</v>
      </c>
      <c r="B916" t="s">
        <v>24</v>
      </c>
      <c r="C916" t="s">
        <v>32</v>
      </c>
      <c r="D916" s="5">
        <v>1593</v>
      </c>
      <c r="E916">
        <v>217.06</v>
      </c>
      <c r="F916" t="s">
        <v>33</v>
      </c>
      <c r="G916">
        <v>120</v>
      </c>
      <c r="H916" s="1">
        <f t="shared" si="14"/>
        <v>47817</v>
      </c>
      <c r="I916" t="s">
        <v>15</v>
      </c>
      <c r="J916" s="1">
        <v>44160</v>
      </c>
      <c r="K916" t="s">
        <v>22</v>
      </c>
      <c r="L916" s="3">
        <v>3.61E-2</v>
      </c>
      <c r="M916" t="s">
        <v>29</v>
      </c>
      <c r="N916" t="s">
        <v>30</v>
      </c>
      <c r="O916">
        <v>0</v>
      </c>
      <c r="P916" s="1">
        <v>46022</v>
      </c>
      <c r="R916" s="7"/>
      <c r="S916" s="7"/>
    </row>
    <row r="917" spans="1:19" x14ac:dyDescent="0.3">
      <c r="A917" t="s">
        <v>965</v>
      </c>
      <c r="B917" t="s">
        <v>12</v>
      </c>
      <c r="C917" t="s">
        <v>63</v>
      </c>
      <c r="D917" s="5">
        <v>1442885</v>
      </c>
      <c r="E917">
        <v>670769.15</v>
      </c>
      <c r="F917" t="s">
        <v>14</v>
      </c>
      <c r="G917">
        <v>144</v>
      </c>
      <c r="H917" s="1">
        <f t="shared" si="14"/>
        <v>48487</v>
      </c>
      <c r="I917" t="s">
        <v>15</v>
      </c>
      <c r="J917" s="1">
        <v>44076</v>
      </c>
      <c r="K917" t="s">
        <v>56</v>
      </c>
      <c r="L917" s="3">
        <v>2.2499999999999999E-2</v>
      </c>
      <c r="M917" t="s">
        <v>29</v>
      </c>
      <c r="N917" t="s">
        <v>30</v>
      </c>
      <c r="O917">
        <v>0</v>
      </c>
      <c r="P917" s="1">
        <v>46022</v>
      </c>
      <c r="R917" s="7"/>
      <c r="S917" s="7"/>
    </row>
    <row r="918" spans="1:19" x14ac:dyDescent="0.3">
      <c r="A918" t="s">
        <v>966</v>
      </c>
      <c r="B918" t="s">
        <v>24</v>
      </c>
      <c r="C918" t="s">
        <v>28</v>
      </c>
      <c r="D918" s="5">
        <v>18494</v>
      </c>
      <c r="E918">
        <v>10442.98</v>
      </c>
      <c r="F918" t="s">
        <v>48</v>
      </c>
      <c r="G918">
        <v>138</v>
      </c>
      <c r="H918" s="1">
        <f t="shared" si="14"/>
        <v>49003</v>
      </c>
      <c r="I918" t="s">
        <v>15</v>
      </c>
      <c r="J918" s="1">
        <v>44775</v>
      </c>
      <c r="K918" t="s">
        <v>22</v>
      </c>
      <c r="L918" s="3">
        <v>5.8299999999999998E-2</v>
      </c>
      <c r="M918" t="s">
        <v>29</v>
      </c>
      <c r="N918" t="s">
        <v>30</v>
      </c>
      <c r="O918">
        <v>0</v>
      </c>
      <c r="P918" s="1">
        <v>46022</v>
      </c>
      <c r="R918" s="7"/>
      <c r="S918" s="7"/>
    </row>
    <row r="919" spans="1:19" x14ac:dyDescent="0.3">
      <c r="A919" t="s">
        <v>967</v>
      </c>
      <c r="B919" t="s">
        <v>24</v>
      </c>
      <c r="C919" t="s">
        <v>28</v>
      </c>
      <c r="D919" s="5">
        <v>46384</v>
      </c>
      <c r="E919">
        <v>28877.48</v>
      </c>
      <c r="F919" t="s">
        <v>48</v>
      </c>
      <c r="G919">
        <v>60</v>
      </c>
      <c r="H919" s="1">
        <f t="shared" si="14"/>
        <v>45688</v>
      </c>
      <c r="I919" t="s">
        <v>15</v>
      </c>
      <c r="J919" s="1">
        <v>43851</v>
      </c>
      <c r="K919" t="s">
        <v>56</v>
      </c>
      <c r="L919" s="3">
        <v>2.2099999999999998E-2</v>
      </c>
      <c r="M919" t="s">
        <v>29</v>
      </c>
      <c r="N919" t="s">
        <v>30</v>
      </c>
      <c r="O919">
        <v>0</v>
      </c>
      <c r="P919" s="1">
        <v>46022</v>
      </c>
      <c r="R919" s="7"/>
      <c r="S919" s="7"/>
    </row>
    <row r="920" spans="1:19" x14ac:dyDescent="0.3">
      <c r="A920" t="s">
        <v>968</v>
      </c>
      <c r="B920" t="s">
        <v>24</v>
      </c>
      <c r="C920" t="s">
        <v>41</v>
      </c>
      <c r="D920" s="5">
        <v>30581</v>
      </c>
      <c r="E920">
        <v>28817.72</v>
      </c>
      <c r="F920" t="s">
        <v>14</v>
      </c>
      <c r="G920">
        <v>228</v>
      </c>
      <c r="H920" s="1">
        <f t="shared" si="14"/>
        <v>52290</v>
      </c>
      <c r="I920" t="s">
        <v>15</v>
      </c>
      <c r="J920" s="1">
        <v>45331</v>
      </c>
      <c r="K920" t="s">
        <v>22</v>
      </c>
      <c r="L920" s="3">
        <v>7.0099999999999996E-2</v>
      </c>
      <c r="M920" t="s">
        <v>17</v>
      </c>
      <c r="N920" t="s">
        <v>42</v>
      </c>
      <c r="O920">
        <v>31453.759999999998</v>
      </c>
      <c r="P920" s="1">
        <v>46022</v>
      </c>
      <c r="R920" s="7"/>
      <c r="S920" s="7"/>
    </row>
    <row r="921" spans="1:19" x14ac:dyDescent="0.3">
      <c r="A921" t="s">
        <v>969</v>
      </c>
      <c r="B921" t="s">
        <v>24</v>
      </c>
      <c r="C921" t="s">
        <v>32</v>
      </c>
      <c r="D921" s="5">
        <v>32084</v>
      </c>
      <c r="E921">
        <v>22619.919999999998</v>
      </c>
      <c r="F921" t="s">
        <v>33</v>
      </c>
      <c r="G921">
        <v>186</v>
      </c>
      <c r="H921" s="1">
        <f t="shared" si="14"/>
        <v>47968</v>
      </c>
      <c r="I921" t="s">
        <v>15</v>
      </c>
      <c r="J921" s="1">
        <v>42286</v>
      </c>
      <c r="K921" t="s">
        <v>16</v>
      </c>
      <c r="L921" s="3">
        <v>8.9600000000000013E-2</v>
      </c>
      <c r="M921" t="s">
        <v>29</v>
      </c>
      <c r="N921" t="s">
        <v>30</v>
      </c>
      <c r="O921">
        <v>0</v>
      </c>
      <c r="P921" s="1">
        <v>46022</v>
      </c>
      <c r="R921" s="7"/>
      <c r="S921" s="7"/>
    </row>
    <row r="922" spans="1:19" x14ac:dyDescent="0.3">
      <c r="A922" t="s">
        <v>970</v>
      </c>
      <c r="B922" t="s">
        <v>20</v>
      </c>
      <c r="C922" t="s">
        <v>89</v>
      </c>
      <c r="D922" s="5">
        <v>1149276</v>
      </c>
      <c r="E922" s="4">
        <v>612736.43999999994</v>
      </c>
      <c r="F922" t="s">
        <v>33</v>
      </c>
      <c r="G922">
        <v>306</v>
      </c>
      <c r="H922" s="1">
        <f t="shared" si="14"/>
        <v>51226</v>
      </c>
      <c r="I922" t="s">
        <v>15</v>
      </c>
      <c r="J922" s="1">
        <v>41911</v>
      </c>
      <c r="K922" t="s">
        <v>39</v>
      </c>
      <c r="L922" s="3">
        <v>0.1447</v>
      </c>
      <c r="M922" t="s">
        <v>17</v>
      </c>
      <c r="N922" t="s">
        <v>26</v>
      </c>
      <c r="O922">
        <v>1578854.56</v>
      </c>
      <c r="P922" s="1">
        <v>46022</v>
      </c>
      <c r="R922" s="7"/>
      <c r="S922" s="7"/>
    </row>
    <row r="923" spans="1:19" x14ac:dyDescent="0.3">
      <c r="A923" t="s">
        <v>971</v>
      </c>
      <c r="B923" t="s">
        <v>24</v>
      </c>
      <c r="C923" t="s">
        <v>41</v>
      </c>
      <c r="D923" s="5">
        <v>38950</v>
      </c>
      <c r="E923">
        <v>32278.41</v>
      </c>
      <c r="F923" t="s">
        <v>14</v>
      </c>
      <c r="G923">
        <v>240</v>
      </c>
      <c r="H923" s="1">
        <f t="shared" si="14"/>
        <v>51166</v>
      </c>
      <c r="I923" t="s">
        <v>15</v>
      </c>
      <c r="J923" s="1">
        <v>43844</v>
      </c>
      <c r="K923" t="s">
        <v>39</v>
      </c>
      <c r="L923" s="3">
        <v>5.4900000000000004E-2</v>
      </c>
      <c r="M923" t="s">
        <v>17</v>
      </c>
      <c r="N923" t="s">
        <v>42</v>
      </c>
      <c r="O923">
        <v>46134.23</v>
      </c>
      <c r="P923" s="1">
        <v>46022</v>
      </c>
      <c r="R923" s="7"/>
      <c r="S923" s="7"/>
    </row>
    <row r="924" spans="1:19" x14ac:dyDescent="0.3">
      <c r="A924" t="s">
        <v>972</v>
      </c>
      <c r="B924" t="s">
        <v>24</v>
      </c>
      <c r="C924" t="s">
        <v>41</v>
      </c>
      <c r="D924" s="5">
        <v>86324</v>
      </c>
      <c r="E924">
        <v>82480.62</v>
      </c>
      <c r="F924" t="s">
        <v>14</v>
      </c>
      <c r="G924">
        <v>156</v>
      </c>
      <c r="H924" s="1">
        <f t="shared" si="14"/>
        <v>50071</v>
      </c>
      <c r="I924" t="s">
        <v>15</v>
      </c>
      <c r="J924" s="1">
        <v>45300</v>
      </c>
      <c r="K924" t="s">
        <v>35</v>
      </c>
      <c r="L924" s="3">
        <v>6.3799999999999996E-2</v>
      </c>
      <c r="M924" t="s">
        <v>17</v>
      </c>
      <c r="N924" t="s">
        <v>42</v>
      </c>
      <c r="O924">
        <v>105740.71</v>
      </c>
      <c r="P924" s="1">
        <v>46022</v>
      </c>
      <c r="R924" s="7"/>
      <c r="S924" s="7"/>
    </row>
    <row r="925" spans="1:19" x14ac:dyDescent="0.3">
      <c r="A925" t="s">
        <v>973</v>
      </c>
      <c r="B925" t="s">
        <v>37</v>
      </c>
      <c r="C925" t="s">
        <v>74</v>
      </c>
      <c r="D925" s="5">
        <v>367142107</v>
      </c>
      <c r="E925">
        <v>44005481.75</v>
      </c>
      <c r="F925" t="s">
        <v>33</v>
      </c>
      <c r="G925">
        <v>174</v>
      </c>
      <c r="H925" s="1">
        <f t="shared" si="14"/>
        <v>49826</v>
      </c>
      <c r="I925" t="s">
        <v>15</v>
      </c>
      <c r="J925" s="1">
        <v>44517</v>
      </c>
      <c r="K925" t="s">
        <v>16</v>
      </c>
      <c r="L925" s="3">
        <v>8.1099999999999992E-2</v>
      </c>
      <c r="M925" t="s">
        <v>29</v>
      </c>
      <c r="N925" t="s">
        <v>30</v>
      </c>
      <c r="O925">
        <v>0</v>
      </c>
      <c r="P925" s="1">
        <v>46022</v>
      </c>
      <c r="R925" s="7"/>
      <c r="S925" s="7"/>
    </row>
    <row r="926" spans="1:19" x14ac:dyDescent="0.3">
      <c r="A926" t="s">
        <v>974</v>
      </c>
      <c r="B926" t="s">
        <v>24</v>
      </c>
      <c r="C926" t="s">
        <v>28</v>
      </c>
      <c r="D926" s="5">
        <v>5675</v>
      </c>
      <c r="E926">
        <v>5585.29</v>
      </c>
      <c r="F926" t="s">
        <v>48</v>
      </c>
      <c r="G926">
        <v>60</v>
      </c>
      <c r="H926" s="1">
        <f t="shared" si="14"/>
        <v>47087</v>
      </c>
      <c r="I926" t="s">
        <v>15</v>
      </c>
      <c r="J926" s="1">
        <v>45231</v>
      </c>
      <c r="K926" t="s">
        <v>22</v>
      </c>
      <c r="L926" s="3">
        <v>5.2199999999999996E-2</v>
      </c>
      <c r="M926" t="s">
        <v>29</v>
      </c>
      <c r="N926" t="s">
        <v>30</v>
      </c>
      <c r="O926">
        <v>0</v>
      </c>
      <c r="P926" s="1">
        <v>46022</v>
      </c>
      <c r="R926" s="7"/>
      <c r="S926" s="7"/>
    </row>
    <row r="927" spans="1:19" x14ac:dyDescent="0.3">
      <c r="A927" t="s">
        <v>975</v>
      </c>
      <c r="B927" t="s">
        <v>24</v>
      </c>
      <c r="C927" t="s">
        <v>32</v>
      </c>
      <c r="D927" s="5">
        <v>22006</v>
      </c>
      <c r="E927">
        <v>3906.55</v>
      </c>
      <c r="F927" t="s">
        <v>33</v>
      </c>
      <c r="G927">
        <v>348</v>
      </c>
      <c r="H927" s="1">
        <f t="shared" si="14"/>
        <v>56035</v>
      </c>
      <c r="I927" t="s">
        <v>15</v>
      </c>
      <c r="J927" s="1">
        <v>45426</v>
      </c>
      <c r="K927" t="s">
        <v>35</v>
      </c>
      <c r="L927" s="3">
        <v>6.3200000000000006E-2</v>
      </c>
      <c r="M927" t="s">
        <v>29</v>
      </c>
      <c r="N927" t="s">
        <v>30</v>
      </c>
      <c r="O927">
        <v>0</v>
      </c>
      <c r="P927" s="1">
        <v>46022</v>
      </c>
      <c r="R927" s="7"/>
      <c r="S927" s="7"/>
    </row>
    <row r="928" spans="1:19" x14ac:dyDescent="0.3">
      <c r="A928" t="s">
        <v>976</v>
      </c>
      <c r="B928" t="s">
        <v>24</v>
      </c>
      <c r="C928" t="s">
        <v>25</v>
      </c>
      <c r="D928" s="5">
        <v>126253</v>
      </c>
      <c r="E928">
        <v>105162.02</v>
      </c>
      <c r="F928" t="s">
        <v>14</v>
      </c>
      <c r="G928">
        <v>84</v>
      </c>
      <c r="H928" s="1">
        <f t="shared" si="14"/>
        <v>46203</v>
      </c>
      <c r="I928" t="s">
        <v>15</v>
      </c>
      <c r="J928" s="1">
        <v>43634</v>
      </c>
      <c r="K928" t="s">
        <v>16</v>
      </c>
      <c r="L928" s="3">
        <v>9.5799999999999996E-2</v>
      </c>
      <c r="M928" t="s">
        <v>17</v>
      </c>
      <c r="N928" t="s">
        <v>26</v>
      </c>
      <c r="O928">
        <v>172083.68</v>
      </c>
      <c r="P928" s="1">
        <v>46022</v>
      </c>
      <c r="R928" s="7"/>
      <c r="S928" s="7"/>
    </row>
    <row r="929" spans="1:19" x14ac:dyDescent="0.3">
      <c r="A929" t="s">
        <v>977</v>
      </c>
      <c r="B929" t="s">
        <v>24</v>
      </c>
      <c r="C929" t="s">
        <v>41</v>
      </c>
      <c r="D929" s="5">
        <v>53280</v>
      </c>
      <c r="E929">
        <v>18770.650000000001</v>
      </c>
      <c r="F929" t="s">
        <v>14</v>
      </c>
      <c r="G929">
        <v>150</v>
      </c>
      <c r="H929" s="1">
        <f t="shared" si="14"/>
        <v>45930</v>
      </c>
      <c r="I929" t="s">
        <v>15</v>
      </c>
      <c r="J929" s="1">
        <v>41354</v>
      </c>
      <c r="K929" t="s">
        <v>39</v>
      </c>
      <c r="L929" s="3">
        <v>7.1800000000000003E-2</v>
      </c>
      <c r="M929" t="s">
        <v>17</v>
      </c>
      <c r="N929" t="s">
        <v>42</v>
      </c>
      <c r="O929">
        <v>58523.43</v>
      </c>
      <c r="P929" s="1">
        <v>46022</v>
      </c>
      <c r="R929" s="7"/>
      <c r="S929" s="7"/>
    </row>
    <row r="930" spans="1:19" x14ac:dyDescent="0.3">
      <c r="A930" t="s">
        <v>978</v>
      </c>
      <c r="B930" t="s">
        <v>24</v>
      </c>
      <c r="C930" t="s">
        <v>28</v>
      </c>
      <c r="D930" s="5">
        <v>33459</v>
      </c>
      <c r="E930">
        <v>7326.3</v>
      </c>
      <c r="F930" t="s">
        <v>33</v>
      </c>
      <c r="G930">
        <v>288</v>
      </c>
      <c r="H930" s="1">
        <f t="shared" si="14"/>
        <v>53358</v>
      </c>
      <c r="I930" t="s">
        <v>15</v>
      </c>
      <c r="J930" s="1">
        <v>44586</v>
      </c>
      <c r="K930" t="s">
        <v>39</v>
      </c>
      <c r="L930" s="3">
        <v>7.1800000000000003E-2</v>
      </c>
      <c r="M930" t="s">
        <v>29</v>
      </c>
      <c r="N930" t="s">
        <v>30</v>
      </c>
      <c r="O930">
        <v>0</v>
      </c>
      <c r="P930" s="1">
        <v>46022</v>
      </c>
      <c r="R930" s="7"/>
      <c r="S930" s="7"/>
    </row>
    <row r="931" spans="1:19" x14ac:dyDescent="0.3">
      <c r="A931" t="s">
        <v>979</v>
      </c>
      <c r="B931" t="s">
        <v>24</v>
      </c>
      <c r="C931" t="s">
        <v>28</v>
      </c>
      <c r="D931" s="5">
        <v>6807</v>
      </c>
      <c r="E931">
        <v>3375.2</v>
      </c>
      <c r="F931" t="s">
        <v>14</v>
      </c>
      <c r="G931">
        <v>60</v>
      </c>
      <c r="H931" s="1">
        <f t="shared" si="14"/>
        <v>45046</v>
      </c>
      <c r="I931" t="s">
        <v>15</v>
      </c>
      <c r="J931" s="1">
        <v>43210</v>
      </c>
      <c r="K931" t="s">
        <v>39</v>
      </c>
      <c r="L931" s="3">
        <v>5.91E-2</v>
      </c>
      <c r="M931" t="s">
        <v>29</v>
      </c>
      <c r="N931" t="s">
        <v>30</v>
      </c>
      <c r="O931">
        <v>0</v>
      </c>
      <c r="P931" s="1">
        <v>46022</v>
      </c>
      <c r="R931" s="7"/>
      <c r="S931" s="7"/>
    </row>
    <row r="932" spans="1:19" x14ac:dyDescent="0.3">
      <c r="A932" t="s">
        <v>980</v>
      </c>
      <c r="B932" t="s">
        <v>24</v>
      </c>
      <c r="C932" t="s">
        <v>25</v>
      </c>
      <c r="D932" s="5">
        <v>359996</v>
      </c>
      <c r="E932">
        <v>244639.52</v>
      </c>
      <c r="F932" t="s">
        <v>14</v>
      </c>
      <c r="G932">
        <v>318</v>
      </c>
      <c r="H932" s="1">
        <f t="shared" si="14"/>
        <v>53327</v>
      </c>
      <c r="I932" t="s">
        <v>15</v>
      </c>
      <c r="J932" s="1">
        <v>43633</v>
      </c>
      <c r="K932" t="s">
        <v>35</v>
      </c>
      <c r="L932" s="3">
        <v>3.2099999999999997E-2</v>
      </c>
      <c r="M932" t="s">
        <v>17</v>
      </c>
      <c r="N932" t="s">
        <v>26</v>
      </c>
      <c r="O932">
        <v>477698.2</v>
      </c>
      <c r="P932" s="1">
        <v>46022</v>
      </c>
      <c r="R932" s="7"/>
      <c r="S932" s="7"/>
    </row>
    <row r="933" spans="1:19" x14ac:dyDescent="0.3">
      <c r="A933" t="s">
        <v>981</v>
      </c>
      <c r="B933" t="s">
        <v>20</v>
      </c>
      <c r="C933" t="s">
        <v>51</v>
      </c>
      <c r="D933" s="5">
        <v>2019291</v>
      </c>
      <c r="E933">
        <v>894256.6</v>
      </c>
      <c r="F933" t="s">
        <v>33</v>
      </c>
      <c r="G933">
        <v>72</v>
      </c>
      <c r="H933" s="1">
        <f t="shared" si="14"/>
        <v>45565</v>
      </c>
      <c r="I933" t="s">
        <v>15</v>
      </c>
      <c r="J933" s="1">
        <v>43356</v>
      </c>
      <c r="K933" t="s">
        <v>35</v>
      </c>
      <c r="L933" s="3">
        <v>3.0899999999999997E-2</v>
      </c>
      <c r="M933" t="s">
        <v>17</v>
      </c>
      <c r="N933" t="s">
        <v>42</v>
      </c>
      <c r="O933">
        <v>3913790.95</v>
      </c>
      <c r="P933" s="1">
        <v>46022</v>
      </c>
      <c r="R933" s="7"/>
      <c r="S933" s="7"/>
    </row>
    <row r="934" spans="1:19" x14ac:dyDescent="0.3">
      <c r="A934" t="s">
        <v>982</v>
      </c>
      <c r="B934" t="s">
        <v>24</v>
      </c>
      <c r="C934" t="s">
        <v>28</v>
      </c>
      <c r="D934" s="5">
        <v>46057</v>
      </c>
      <c r="E934">
        <v>6867.51</v>
      </c>
      <c r="F934" t="s">
        <v>33</v>
      </c>
      <c r="G934">
        <v>324</v>
      </c>
      <c r="H934" s="1">
        <f t="shared" si="14"/>
        <v>52382</v>
      </c>
      <c r="I934" t="s">
        <v>15</v>
      </c>
      <c r="J934" s="1">
        <v>42509</v>
      </c>
      <c r="K934" t="s">
        <v>39</v>
      </c>
      <c r="L934" s="3">
        <v>6.4100000000000004E-2</v>
      </c>
      <c r="M934" t="s">
        <v>29</v>
      </c>
      <c r="N934" t="s">
        <v>30</v>
      </c>
      <c r="O934">
        <v>0</v>
      </c>
      <c r="P934" s="1">
        <v>46022</v>
      </c>
      <c r="R934" s="7"/>
      <c r="S934" s="7"/>
    </row>
    <row r="935" spans="1:19" x14ac:dyDescent="0.3">
      <c r="A935" t="s">
        <v>983</v>
      </c>
      <c r="B935" t="s">
        <v>20</v>
      </c>
      <c r="C935" t="s">
        <v>47</v>
      </c>
      <c r="D935" s="5">
        <v>4966612</v>
      </c>
      <c r="E935">
        <v>3176223.21</v>
      </c>
      <c r="F935" t="s">
        <v>14</v>
      </c>
      <c r="G935">
        <v>156</v>
      </c>
      <c r="H935" s="1">
        <f t="shared" si="14"/>
        <v>50405</v>
      </c>
      <c r="I935" t="s">
        <v>15</v>
      </c>
      <c r="J935" s="1">
        <v>45632</v>
      </c>
      <c r="K935" t="s">
        <v>35</v>
      </c>
      <c r="L935" s="3">
        <v>6.3E-2</v>
      </c>
      <c r="M935" t="s">
        <v>29</v>
      </c>
      <c r="N935" t="s">
        <v>30</v>
      </c>
      <c r="O935">
        <v>0</v>
      </c>
      <c r="P935" s="1">
        <v>46022</v>
      </c>
      <c r="R935" s="7"/>
      <c r="S935" s="7"/>
    </row>
    <row r="936" spans="1:19" x14ac:dyDescent="0.3">
      <c r="A936" t="s">
        <v>984</v>
      </c>
      <c r="B936" t="s">
        <v>12</v>
      </c>
      <c r="C936" t="s">
        <v>26</v>
      </c>
      <c r="D936" s="5">
        <v>3200654</v>
      </c>
      <c r="E936">
        <v>2919517.67</v>
      </c>
      <c r="F936" t="s">
        <v>33</v>
      </c>
      <c r="G936">
        <v>108</v>
      </c>
      <c r="H936" s="1">
        <f t="shared" si="14"/>
        <v>46326</v>
      </c>
      <c r="I936" t="s">
        <v>15</v>
      </c>
      <c r="J936" s="1">
        <v>43034</v>
      </c>
      <c r="K936" t="s">
        <v>22</v>
      </c>
      <c r="L936" s="3">
        <v>5.2000000000000005E-2</v>
      </c>
      <c r="M936" t="s">
        <v>17</v>
      </c>
      <c r="N936" t="s">
        <v>18</v>
      </c>
      <c r="O936">
        <v>4627000.26</v>
      </c>
      <c r="P936" s="1">
        <v>46022</v>
      </c>
      <c r="R936" s="7"/>
      <c r="S936" s="7"/>
    </row>
    <row r="937" spans="1:19" x14ac:dyDescent="0.3">
      <c r="A937" t="s">
        <v>985</v>
      </c>
      <c r="B937" t="s">
        <v>24</v>
      </c>
      <c r="C937" t="s">
        <v>28</v>
      </c>
      <c r="D937" s="5">
        <v>38289</v>
      </c>
      <c r="E937">
        <v>17034.71</v>
      </c>
      <c r="F937" t="s">
        <v>48</v>
      </c>
      <c r="G937">
        <v>60</v>
      </c>
      <c r="H937" s="1">
        <f t="shared" si="14"/>
        <v>45199</v>
      </c>
      <c r="I937" t="s">
        <v>15</v>
      </c>
      <c r="J937" s="1">
        <v>43357</v>
      </c>
      <c r="K937" t="s">
        <v>39</v>
      </c>
      <c r="L937" s="3">
        <v>7.7199999999999991E-2</v>
      </c>
      <c r="M937" t="s">
        <v>29</v>
      </c>
      <c r="N937" t="s">
        <v>30</v>
      </c>
      <c r="O937">
        <v>0</v>
      </c>
      <c r="P937" s="1">
        <v>46022</v>
      </c>
      <c r="R937" s="7"/>
      <c r="S937" s="7"/>
    </row>
    <row r="938" spans="1:19" x14ac:dyDescent="0.3">
      <c r="A938" t="s">
        <v>986</v>
      </c>
      <c r="B938" t="s">
        <v>20</v>
      </c>
      <c r="C938" t="s">
        <v>51</v>
      </c>
      <c r="D938" s="5">
        <v>1890034</v>
      </c>
      <c r="E938">
        <v>556992.11</v>
      </c>
      <c r="F938" t="s">
        <v>14</v>
      </c>
      <c r="G938">
        <v>228</v>
      </c>
      <c r="H938" s="1">
        <f t="shared" si="14"/>
        <v>49765</v>
      </c>
      <c r="I938" t="s">
        <v>15</v>
      </c>
      <c r="J938" s="1">
        <v>42811</v>
      </c>
      <c r="K938" t="s">
        <v>39</v>
      </c>
      <c r="L938" s="3">
        <v>6.3099999999999989E-2</v>
      </c>
      <c r="M938" t="s">
        <v>17</v>
      </c>
      <c r="N938" t="s">
        <v>26</v>
      </c>
      <c r="O938">
        <v>2402460.83</v>
      </c>
      <c r="P938" s="1">
        <v>46022</v>
      </c>
      <c r="R938" s="7"/>
      <c r="S938" s="7"/>
    </row>
    <row r="939" spans="1:19" x14ac:dyDescent="0.3">
      <c r="A939" t="s">
        <v>987</v>
      </c>
      <c r="B939" t="s">
        <v>24</v>
      </c>
      <c r="C939" t="s">
        <v>32</v>
      </c>
      <c r="D939" s="5">
        <v>20230</v>
      </c>
      <c r="E939">
        <v>10081.23</v>
      </c>
      <c r="F939" t="s">
        <v>33</v>
      </c>
      <c r="G939">
        <v>138</v>
      </c>
      <c r="H939" s="1">
        <f t="shared" si="14"/>
        <v>46721</v>
      </c>
      <c r="I939" t="s">
        <v>15</v>
      </c>
      <c r="J939" s="1">
        <v>42501</v>
      </c>
      <c r="K939" t="s">
        <v>22</v>
      </c>
      <c r="L939" s="3">
        <v>3.9900000000000005E-2</v>
      </c>
      <c r="M939" t="s">
        <v>29</v>
      </c>
      <c r="N939" t="s">
        <v>30</v>
      </c>
      <c r="O939">
        <v>0</v>
      </c>
      <c r="P939" s="1">
        <v>46022</v>
      </c>
      <c r="R939" s="7"/>
      <c r="S939" s="7"/>
    </row>
    <row r="940" spans="1:19" x14ac:dyDescent="0.3">
      <c r="A940" t="s">
        <v>988</v>
      </c>
      <c r="B940" t="s">
        <v>24</v>
      </c>
      <c r="C940" t="s">
        <v>41</v>
      </c>
      <c r="D940" s="5">
        <v>77884</v>
      </c>
      <c r="E940">
        <v>11178.39</v>
      </c>
      <c r="F940" t="s">
        <v>14</v>
      </c>
      <c r="G940">
        <v>126</v>
      </c>
      <c r="H940" s="1">
        <f t="shared" si="14"/>
        <v>46203</v>
      </c>
      <c r="I940" t="s">
        <v>15</v>
      </c>
      <c r="J940" s="1">
        <v>42342</v>
      </c>
      <c r="K940" t="s">
        <v>39</v>
      </c>
      <c r="L940" s="3">
        <v>6.2E-2</v>
      </c>
      <c r="M940" t="s">
        <v>17</v>
      </c>
      <c r="N940" t="s">
        <v>42</v>
      </c>
      <c r="O940">
        <v>77943.94</v>
      </c>
      <c r="P940" s="1">
        <v>46022</v>
      </c>
      <c r="R940" s="7"/>
      <c r="S940" s="7"/>
    </row>
    <row r="941" spans="1:19" x14ac:dyDescent="0.3">
      <c r="A941" t="s">
        <v>989</v>
      </c>
      <c r="B941" t="s">
        <v>24</v>
      </c>
      <c r="C941" t="s">
        <v>25</v>
      </c>
      <c r="D941" s="5">
        <v>926584</v>
      </c>
      <c r="E941">
        <v>776883.83</v>
      </c>
      <c r="F941" t="s">
        <v>14</v>
      </c>
      <c r="G941">
        <v>342</v>
      </c>
      <c r="H941" s="1">
        <f t="shared" si="14"/>
        <v>54788</v>
      </c>
      <c r="I941" t="s">
        <v>15</v>
      </c>
      <c r="J941" s="1">
        <v>44377</v>
      </c>
      <c r="K941" t="s">
        <v>39</v>
      </c>
      <c r="L941" s="3">
        <v>5.7599999999999998E-2</v>
      </c>
      <c r="M941" t="s">
        <v>17</v>
      </c>
      <c r="N941" t="s">
        <v>26</v>
      </c>
      <c r="O941">
        <v>1236382.53</v>
      </c>
      <c r="P941" s="1">
        <v>46022</v>
      </c>
      <c r="R941" s="7"/>
      <c r="S941" s="7"/>
    </row>
    <row r="942" spans="1:19" x14ac:dyDescent="0.3">
      <c r="A942" t="s">
        <v>990</v>
      </c>
      <c r="B942" t="s">
        <v>20</v>
      </c>
      <c r="C942" t="s">
        <v>47</v>
      </c>
      <c r="D942" s="5">
        <v>4757097</v>
      </c>
      <c r="E942">
        <v>4013594.37</v>
      </c>
      <c r="F942" t="s">
        <v>48</v>
      </c>
      <c r="G942">
        <v>60</v>
      </c>
      <c r="H942" s="1">
        <f t="shared" si="14"/>
        <v>45382</v>
      </c>
      <c r="I942" t="s">
        <v>15</v>
      </c>
      <c r="J942" s="1">
        <v>43530</v>
      </c>
      <c r="K942" t="s">
        <v>39</v>
      </c>
      <c r="L942" s="3">
        <v>6.6000000000000003E-2</v>
      </c>
      <c r="M942" t="s">
        <v>17</v>
      </c>
      <c r="N942" t="s">
        <v>26</v>
      </c>
      <c r="O942">
        <v>7511484.2599999998</v>
      </c>
      <c r="P942" s="1">
        <v>46022</v>
      </c>
      <c r="R942" s="7"/>
      <c r="S942" s="7"/>
    </row>
    <row r="943" spans="1:19" x14ac:dyDescent="0.3">
      <c r="A943" t="s">
        <v>991</v>
      </c>
      <c r="B943" t="s">
        <v>24</v>
      </c>
      <c r="C943" t="s">
        <v>28</v>
      </c>
      <c r="D943" s="5">
        <v>29279</v>
      </c>
      <c r="E943">
        <v>18422.37</v>
      </c>
      <c r="F943" t="s">
        <v>14</v>
      </c>
      <c r="G943">
        <v>126</v>
      </c>
      <c r="H943" s="1">
        <f t="shared" si="14"/>
        <v>47695</v>
      </c>
      <c r="I943" t="s">
        <v>15</v>
      </c>
      <c r="J943" s="1">
        <v>43861</v>
      </c>
      <c r="K943" t="s">
        <v>35</v>
      </c>
      <c r="L943" s="3">
        <v>1.84E-2</v>
      </c>
      <c r="M943" t="s">
        <v>29</v>
      </c>
      <c r="N943" t="s">
        <v>30</v>
      </c>
      <c r="O943">
        <v>0</v>
      </c>
      <c r="P943" s="1">
        <v>46022</v>
      </c>
      <c r="R943" s="7"/>
      <c r="S943" s="7"/>
    </row>
    <row r="944" spans="1:19" x14ac:dyDescent="0.3">
      <c r="A944" t="s">
        <v>992</v>
      </c>
      <c r="B944" t="s">
        <v>24</v>
      </c>
      <c r="C944" t="s">
        <v>25</v>
      </c>
      <c r="D944" s="5">
        <v>421409</v>
      </c>
      <c r="E944">
        <v>176061.58</v>
      </c>
      <c r="F944" t="s">
        <v>14</v>
      </c>
      <c r="G944">
        <v>162</v>
      </c>
      <c r="H944" s="1">
        <f t="shared" si="14"/>
        <v>49765</v>
      </c>
      <c r="I944" t="s">
        <v>15</v>
      </c>
      <c r="J944" s="1">
        <v>44830</v>
      </c>
      <c r="K944" t="s">
        <v>22</v>
      </c>
      <c r="L944" s="3">
        <v>5.2499999999999998E-2</v>
      </c>
      <c r="M944" t="s">
        <v>17</v>
      </c>
      <c r="N944" t="s">
        <v>26</v>
      </c>
      <c r="O944">
        <v>550145.18000000005</v>
      </c>
      <c r="P944" s="1">
        <v>46022</v>
      </c>
      <c r="R944" s="7"/>
      <c r="S944" s="7"/>
    </row>
    <row r="945" spans="1:19" x14ac:dyDescent="0.3">
      <c r="A945" t="s">
        <v>993</v>
      </c>
      <c r="B945" t="s">
        <v>24</v>
      </c>
      <c r="C945" t="s">
        <v>25</v>
      </c>
      <c r="D945" s="5">
        <v>808794</v>
      </c>
      <c r="E945">
        <v>663053.54</v>
      </c>
      <c r="F945" t="s">
        <v>14</v>
      </c>
      <c r="G945">
        <v>252</v>
      </c>
      <c r="H945" s="1">
        <f t="shared" si="14"/>
        <v>49399</v>
      </c>
      <c r="I945" t="s">
        <v>15</v>
      </c>
      <c r="J945" s="1">
        <v>41726</v>
      </c>
      <c r="K945" t="s">
        <v>22</v>
      </c>
      <c r="L945" s="3">
        <v>4.6799999999999994E-2</v>
      </c>
      <c r="M945" t="s">
        <v>17</v>
      </c>
      <c r="N945" t="s">
        <v>26</v>
      </c>
      <c r="O945">
        <v>1049652.42</v>
      </c>
      <c r="P945" s="1">
        <v>46022</v>
      </c>
      <c r="R945" s="7"/>
      <c r="S945" s="7"/>
    </row>
    <row r="946" spans="1:19" x14ac:dyDescent="0.3">
      <c r="A946" t="s">
        <v>994</v>
      </c>
      <c r="B946" t="s">
        <v>24</v>
      </c>
      <c r="C946" t="s">
        <v>28</v>
      </c>
      <c r="D946" s="5">
        <v>13299</v>
      </c>
      <c r="E946">
        <v>7969.05</v>
      </c>
      <c r="F946" t="s">
        <v>48</v>
      </c>
      <c r="G946">
        <v>354</v>
      </c>
      <c r="H946" s="1">
        <f t="shared" si="14"/>
        <v>51774</v>
      </c>
      <c r="I946" t="s">
        <v>15</v>
      </c>
      <c r="J946" s="1">
        <v>40980</v>
      </c>
      <c r="K946" t="s">
        <v>35</v>
      </c>
      <c r="L946" s="3">
        <v>3.4500000000000003E-2</v>
      </c>
      <c r="M946" t="s">
        <v>29</v>
      </c>
      <c r="N946" t="s">
        <v>30</v>
      </c>
      <c r="O946">
        <v>0</v>
      </c>
      <c r="P946" s="1">
        <v>46022</v>
      </c>
      <c r="R946" s="7"/>
      <c r="S946" s="7"/>
    </row>
    <row r="947" spans="1:19" x14ac:dyDescent="0.3">
      <c r="A947" t="s">
        <v>995</v>
      </c>
      <c r="B947" t="s">
        <v>24</v>
      </c>
      <c r="C947" t="s">
        <v>41</v>
      </c>
      <c r="D947" s="5">
        <v>60767</v>
      </c>
      <c r="E947">
        <v>51246.9</v>
      </c>
      <c r="F947" t="s">
        <v>14</v>
      </c>
      <c r="G947">
        <v>60</v>
      </c>
      <c r="H947" s="1">
        <f t="shared" si="14"/>
        <v>46234</v>
      </c>
      <c r="I947" t="s">
        <v>15</v>
      </c>
      <c r="J947" s="1">
        <v>44378</v>
      </c>
      <c r="K947" t="s">
        <v>22</v>
      </c>
      <c r="L947" s="3">
        <v>3.8599999999999995E-2</v>
      </c>
      <c r="M947" t="s">
        <v>17</v>
      </c>
      <c r="N947" t="s">
        <v>42</v>
      </c>
      <c r="O947">
        <v>63704.23</v>
      </c>
      <c r="P947" s="1">
        <v>46022</v>
      </c>
      <c r="R947" s="7"/>
      <c r="S947" s="7"/>
    </row>
    <row r="948" spans="1:19" x14ac:dyDescent="0.3">
      <c r="A948" t="s">
        <v>996</v>
      </c>
      <c r="B948" t="s">
        <v>24</v>
      </c>
      <c r="C948" t="s">
        <v>28</v>
      </c>
      <c r="D948" s="5">
        <v>18570</v>
      </c>
      <c r="E948">
        <v>12410.8</v>
      </c>
      <c r="F948" t="s">
        <v>48</v>
      </c>
      <c r="G948">
        <v>330</v>
      </c>
      <c r="H948" s="1">
        <f t="shared" si="14"/>
        <v>50556</v>
      </c>
      <c r="I948" t="s">
        <v>15</v>
      </c>
      <c r="J948" s="1">
        <v>40512</v>
      </c>
      <c r="K948" t="s">
        <v>35</v>
      </c>
      <c r="L948" s="3">
        <v>4.7E-2</v>
      </c>
      <c r="M948" t="s">
        <v>29</v>
      </c>
      <c r="N948" t="s">
        <v>30</v>
      </c>
      <c r="O948">
        <v>0</v>
      </c>
      <c r="P948" s="1">
        <v>46022</v>
      </c>
      <c r="R948" s="7"/>
      <c r="S948" s="7"/>
    </row>
    <row r="949" spans="1:19" x14ac:dyDescent="0.3">
      <c r="A949" t="s">
        <v>997</v>
      </c>
      <c r="B949" t="s">
        <v>20</v>
      </c>
      <c r="C949" t="s">
        <v>51</v>
      </c>
      <c r="D949" s="5">
        <v>3300324</v>
      </c>
      <c r="E949">
        <v>2659945.23</v>
      </c>
      <c r="F949" t="s">
        <v>33</v>
      </c>
      <c r="G949">
        <v>264</v>
      </c>
      <c r="H949" s="1">
        <f t="shared" si="14"/>
        <v>50071</v>
      </c>
      <c r="I949" t="s">
        <v>15</v>
      </c>
      <c r="J949" s="1">
        <v>42026</v>
      </c>
      <c r="K949" t="s">
        <v>22</v>
      </c>
      <c r="L949" s="3">
        <v>4.53E-2</v>
      </c>
      <c r="M949" t="s">
        <v>29</v>
      </c>
      <c r="N949" t="s">
        <v>30</v>
      </c>
      <c r="O949">
        <v>0</v>
      </c>
      <c r="P949" s="1">
        <v>46022</v>
      </c>
      <c r="R949" s="7"/>
      <c r="S949" s="7"/>
    </row>
    <row r="950" spans="1:19" x14ac:dyDescent="0.3">
      <c r="A950" t="s">
        <v>998</v>
      </c>
      <c r="B950" t="s">
        <v>20</v>
      </c>
      <c r="C950" t="s">
        <v>89</v>
      </c>
      <c r="D950" s="5">
        <v>1239975</v>
      </c>
      <c r="E950">
        <v>791980.09</v>
      </c>
      <c r="F950" t="s">
        <v>48</v>
      </c>
      <c r="G950">
        <v>216</v>
      </c>
      <c r="H950" s="1">
        <f t="shared" si="14"/>
        <v>51074</v>
      </c>
      <c r="I950" t="s">
        <v>15</v>
      </c>
      <c r="J950" s="1">
        <v>44474</v>
      </c>
      <c r="K950" t="s">
        <v>16</v>
      </c>
      <c r="L950" s="3">
        <v>8.8599999999999998E-2</v>
      </c>
      <c r="M950" t="s">
        <v>17</v>
      </c>
      <c r="N950" t="s">
        <v>26</v>
      </c>
      <c r="O950">
        <v>1487705.3</v>
      </c>
      <c r="P950" s="1">
        <v>46022</v>
      </c>
      <c r="R950" s="7"/>
      <c r="S950" s="7"/>
    </row>
    <row r="951" spans="1:19" x14ac:dyDescent="0.3">
      <c r="A951" t="s">
        <v>999</v>
      </c>
      <c r="B951" t="s">
        <v>37</v>
      </c>
      <c r="C951" t="s">
        <v>38</v>
      </c>
      <c r="D951" s="5">
        <v>103880543</v>
      </c>
      <c r="E951">
        <v>49107133.630000003</v>
      </c>
      <c r="F951" t="s">
        <v>33</v>
      </c>
      <c r="G951">
        <v>168</v>
      </c>
      <c r="H951" s="1">
        <f t="shared" si="14"/>
        <v>50525</v>
      </c>
      <c r="I951" t="s">
        <v>15</v>
      </c>
      <c r="J951" s="1">
        <v>45398</v>
      </c>
      <c r="K951" t="s">
        <v>35</v>
      </c>
      <c r="L951" s="3">
        <v>5.7099999999999998E-2</v>
      </c>
      <c r="M951" t="s">
        <v>17</v>
      </c>
      <c r="N951" t="s">
        <v>26</v>
      </c>
      <c r="O951">
        <v>156280168.90000001</v>
      </c>
      <c r="P951" s="1">
        <v>46022</v>
      </c>
      <c r="R951" s="7"/>
      <c r="S951" s="7"/>
    </row>
    <row r="952" spans="1:19" x14ac:dyDescent="0.3">
      <c r="A952" t="s">
        <v>1000</v>
      </c>
      <c r="B952" t="s">
        <v>20</v>
      </c>
      <c r="C952" t="s">
        <v>89</v>
      </c>
      <c r="D952" s="5">
        <v>4595283</v>
      </c>
      <c r="E952">
        <v>4421357.8499999996</v>
      </c>
      <c r="F952" t="s">
        <v>14</v>
      </c>
      <c r="G952">
        <v>270</v>
      </c>
      <c r="H952" s="1">
        <f t="shared" si="14"/>
        <v>50099</v>
      </c>
      <c r="I952" t="s">
        <v>15</v>
      </c>
      <c r="J952" s="1">
        <v>41856</v>
      </c>
      <c r="K952" t="s">
        <v>39</v>
      </c>
      <c r="L952" s="3">
        <v>7.0199999999999999E-2</v>
      </c>
      <c r="M952" t="s">
        <v>29</v>
      </c>
      <c r="N952" t="s">
        <v>30</v>
      </c>
      <c r="O952">
        <v>0</v>
      </c>
      <c r="P952" s="1">
        <v>46022</v>
      </c>
      <c r="R952" s="7"/>
      <c r="S952" s="7"/>
    </row>
    <row r="953" spans="1:19" x14ac:dyDescent="0.3">
      <c r="A953" t="s">
        <v>1001</v>
      </c>
      <c r="B953" t="s">
        <v>24</v>
      </c>
      <c r="C953" t="s">
        <v>25</v>
      </c>
      <c r="D953" s="5">
        <v>191623</v>
      </c>
      <c r="E953">
        <v>112483.35</v>
      </c>
      <c r="F953" t="s">
        <v>14</v>
      </c>
      <c r="G953">
        <v>102</v>
      </c>
      <c r="H953" s="1">
        <f t="shared" si="14"/>
        <v>47907</v>
      </c>
      <c r="I953" t="s">
        <v>15</v>
      </c>
      <c r="J953" s="1">
        <v>44796</v>
      </c>
      <c r="K953" t="s">
        <v>39</v>
      </c>
      <c r="L953" s="3">
        <v>7.6399999999999996E-2</v>
      </c>
      <c r="M953" t="s">
        <v>17</v>
      </c>
      <c r="N953" t="s">
        <v>26</v>
      </c>
      <c r="O953">
        <v>245515.31</v>
      </c>
      <c r="P953" s="1">
        <v>46022</v>
      </c>
      <c r="R953" s="7"/>
      <c r="S953" s="7"/>
    </row>
    <row r="954" spans="1:19" x14ac:dyDescent="0.3">
      <c r="A954" t="s">
        <v>1002</v>
      </c>
      <c r="B954" t="s">
        <v>24</v>
      </c>
      <c r="C954" t="s">
        <v>28</v>
      </c>
      <c r="D954" s="5">
        <v>25792</v>
      </c>
      <c r="E954">
        <v>16624.98</v>
      </c>
      <c r="F954" t="s">
        <v>48</v>
      </c>
      <c r="G954">
        <v>354</v>
      </c>
      <c r="H954" s="1">
        <f t="shared" si="14"/>
        <v>52412</v>
      </c>
      <c r="I954" t="s">
        <v>15</v>
      </c>
      <c r="J954" s="1">
        <v>41639</v>
      </c>
      <c r="K954" t="s">
        <v>56</v>
      </c>
      <c r="L954" s="3">
        <v>3.3599999999999998E-2</v>
      </c>
      <c r="M954" t="s">
        <v>29</v>
      </c>
      <c r="N954" t="s">
        <v>30</v>
      </c>
      <c r="O954">
        <v>0</v>
      </c>
      <c r="P954" s="1">
        <v>46022</v>
      </c>
      <c r="R954" s="7"/>
      <c r="S954" s="7"/>
    </row>
    <row r="955" spans="1:19" x14ac:dyDescent="0.3">
      <c r="A955" t="s">
        <v>1003</v>
      </c>
      <c r="B955" t="s">
        <v>24</v>
      </c>
      <c r="C955" t="s">
        <v>41</v>
      </c>
      <c r="D955" s="5">
        <v>29877</v>
      </c>
      <c r="E955">
        <v>8916.3799999999992</v>
      </c>
      <c r="F955" t="s">
        <v>14</v>
      </c>
      <c r="G955">
        <v>240</v>
      </c>
      <c r="H955" s="1">
        <f t="shared" si="14"/>
        <v>50495</v>
      </c>
      <c r="I955" t="s">
        <v>15</v>
      </c>
      <c r="J955" s="1">
        <v>43161</v>
      </c>
      <c r="K955" t="s">
        <v>16</v>
      </c>
      <c r="L955" s="3">
        <v>0.1033</v>
      </c>
      <c r="M955" t="s">
        <v>17</v>
      </c>
      <c r="N955" t="s">
        <v>42</v>
      </c>
      <c r="O955">
        <v>30129.95</v>
      </c>
      <c r="P955" s="1">
        <v>46022</v>
      </c>
      <c r="R955" s="7"/>
      <c r="S955" s="7"/>
    </row>
    <row r="956" spans="1:19" x14ac:dyDescent="0.3">
      <c r="A956" t="s">
        <v>1004</v>
      </c>
      <c r="B956" t="s">
        <v>24</v>
      </c>
      <c r="C956" t="s">
        <v>28</v>
      </c>
      <c r="D956" s="5">
        <v>2908</v>
      </c>
      <c r="E956">
        <v>1927.97</v>
      </c>
      <c r="F956" t="s">
        <v>48</v>
      </c>
      <c r="G956">
        <v>348</v>
      </c>
      <c r="H956" s="1">
        <f t="shared" si="14"/>
        <v>54939</v>
      </c>
      <c r="I956" t="s">
        <v>15</v>
      </c>
      <c r="J956" s="1">
        <v>44342</v>
      </c>
      <c r="K956" t="s">
        <v>22</v>
      </c>
      <c r="L956" s="3">
        <v>3.78E-2</v>
      </c>
      <c r="M956" t="s">
        <v>29</v>
      </c>
      <c r="N956" t="s">
        <v>30</v>
      </c>
      <c r="O956">
        <v>0</v>
      </c>
      <c r="P956" s="1">
        <v>46022</v>
      </c>
      <c r="R956" s="7"/>
      <c r="S956" s="7"/>
    </row>
    <row r="957" spans="1:19" x14ac:dyDescent="0.3">
      <c r="A957" t="s">
        <v>1005</v>
      </c>
      <c r="B957" t="s">
        <v>24</v>
      </c>
      <c r="C957" t="s">
        <v>41</v>
      </c>
      <c r="D957" s="5">
        <v>13242</v>
      </c>
      <c r="E957">
        <v>8136.32</v>
      </c>
      <c r="F957" t="s">
        <v>14</v>
      </c>
      <c r="G957">
        <v>312</v>
      </c>
      <c r="H957" s="1">
        <f t="shared" si="14"/>
        <v>52290</v>
      </c>
      <c r="I957" t="s">
        <v>15</v>
      </c>
      <c r="J957" s="1">
        <v>42783</v>
      </c>
      <c r="K957" t="s">
        <v>22</v>
      </c>
      <c r="L957" s="3">
        <v>4.7599999999999996E-2</v>
      </c>
      <c r="M957" t="s">
        <v>17</v>
      </c>
      <c r="N957" t="s">
        <v>42</v>
      </c>
      <c r="O957">
        <v>14429.13</v>
      </c>
      <c r="P957" s="1">
        <v>46022</v>
      </c>
      <c r="R957" s="7"/>
      <c r="S957" s="7"/>
    </row>
    <row r="958" spans="1:19" x14ac:dyDescent="0.3">
      <c r="A958" t="s">
        <v>1006</v>
      </c>
      <c r="B958" t="s">
        <v>12</v>
      </c>
      <c r="C958" t="s">
        <v>63</v>
      </c>
      <c r="D958" s="5">
        <v>9585867</v>
      </c>
      <c r="E958">
        <v>2553239.3199999998</v>
      </c>
      <c r="F958" t="s">
        <v>14</v>
      </c>
      <c r="G958">
        <v>60</v>
      </c>
      <c r="H958" s="1">
        <f t="shared" si="14"/>
        <v>47087</v>
      </c>
      <c r="I958" t="s">
        <v>15</v>
      </c>
      <c r="J958" s="1">
        <v>45245</v>
      </c>
      <c r="K958" t="s">
        <v>39</v>
      </c>
      <c r="L958" s="3">
        <v>7.2900000000000006E-2</v>
      </c>
      <c r="M958" t="s">
        <v>29</v>
      </c>
      <c r="N958" t="s">
        <v>30</v>
      </c>
      <c r="O958">
        <v>0</v>
      </c>
      <c r="P958" s="1">
        <v>46022</v>
      </c>
      <c r="R958" s="7"/>
      <c r="S958" s="7"/>
    </row>
    <row r="959" spans="1:19" x14ac:dyDescent="0.3">
      <c r="A959" t="s">
        <v>1007</v>
      </c>
      <c r="B959" t="s">
        <v>20</v>
      </c>
      <c r="C959" t="s">
        <v>21</v>
      </c>
      <c r="D959" s="5">
        <v>4340513</v>
      </c>
      <c r="E959">
        <v>666826.05000000005</v>
      </c>
      <c r="F959" t="s">
        <v>14</v>
      </c>
      <c r="G959">
        <v>72</v>
      </c>
      <c r="H959" s="1">
        <f t="shared" si="14"/>
        <v>44985</v>
      </c>
      <c r="I959" t="s">
        <v>15</v>
      </c>
      <c r="J959" s="1">
        <v>42787</v>
      </c>
      <c r="K959" t="s">
        <v>22</v>
      </c>
      <c r="L959" s="3">
        <v>4.9100000000000005E-2</v>
      </c>
      <c r="M959" t="s">
        <v>29</v>
      </c>
      <c r="N959" t="s">
        <v>30</v>
      </c>
      <c r="O959">
        <v>0</v>
      </c>
      <c r="P959" s="1">
        <v>46022</v>
      </c>
      <c r="R959" s="7"/>
      <c r="S959" s="7"/>
    </row>
    <row r="960" spans="1:19" x14ac:dyDescent="0.3">
      <c r="A960" t="s">
        <v>1008</v>
      </c>
      <c r="B960" t="s">
        <v>37</v>
      </c>
      <c r="C960" t="s">
        <v>144</v>
      </c>
      <c r="D960" s="5">
        <v>148414585</v>
      </c>
      <c r="E960">
        <v>95567622.069999993</v>
      </c>
      <c r="F960" t="s">
        <v>48</v>
      </c>
      <c r="G960">
        <v>234</v>
      </c>
      <c r="H960" s="1">
        <f t="shared" si="14"/>
        <v>51195</v>
      </c>
      <c r="I960" t="s">
        <v>15</v>
      </c>
      <c r="J960" s="1">
        <v>44068</v>
      </c>
      <c r="K960" t="s">
        <v>39</v>
      </c>
      <c r="L960" s="3">
        <v>5.0900000000000001E-2</v>
      </c>
      <c r="M960" t="s">
        <v>17</v>
      </c>
      <c r="N960" t="s">
        <v>18</v>
      </c>
      <c r="O960">
        <v>184080944.30000001</v>
      </c>
      <c r="P960" s="1">
        <v>46022</v>
      </c>
      <c r="R960" s="7"/>
      <c r="S960" s="7"/>
    </row>
    <row r="961" spans="1:19" x14ac:dyDescent="0.3">
      <c r="A961" t="s">
        <v>1009</v>
      </c>
      <c r="B961" t="s">
        <v>24</v>
      </c>
      <c r="C961" t="s">
        <v>25</v>
      </c>
      <c r="D961" s="5">
        <v>955413</v>
      </c>
      <c r="E961">
        <v>752218.87</v>
      </c>
      <c r="F961" t="s">
        <v>14</v>
      </c>
      <c r="G961">
        <v>72</v>
      </c>
      <c r="H961" s="1">
        <f t="shared" si="14"/>
        <v>46843</v>
      </c>
      <c r="I961" t="s">
        <v>15</v>
      </c>
      <c r="J961" s="1">
        <v>44650</v>
      </c>
      <c r="K961" t="s">
        <v>56</v>
      </c>
      <c r="L961" s="3">
        <v>2.46E-2</v>
      </c>
      <c r="M961" t="s">
        <v>17</v>
      </c>
      <c r="N961" t="s">
        <v>26</v>
      </c>
      <c r="O961">
        <v>1172295.69</v>
      </c>
      <c r="P961" s="1">
        <v>46022</v>
      </c>
      <c r="R961" s="7"/>
      <c r="S961" s="7"/>
    </row>
    <row r="962" spans="1:19" x14ac:dyDescent="0.3">
      <c r="A962" t="s">
        <v>1010</v>
      </c>
      <c r="B962" t="s">
        <v>37</v>
      </c>
      <c r="C962" t="s">
        <v>74</v>
      </c>
      <c r="D962" s="5">
        <v>294994924</v>
      </c>
      <c r="E962">
        <v>168460165</v>
      </c>
      <c r="F962" t="s">
        <v>14</v>
      </c>
      <c r="G962">
        <v>60</v>
      </c>
      <c r="H962" s="1">
        <f t="shared" ref="H962:H1025" si="15">EOMONTH(J962,G962)</f>
        <v>46783</v>
      </c>
      <c r="I962" t="s">
        <v>15</v>
      </c>
      <c r="J962" s="1">
        <v>44931</v>
      </c>
      <c r="K962" t="s">
        <v>39</v>
      </c>
      <c r="L962" s="3">
        <v>9.5399999999999985E-2</v>
      </c>
      <c r="M962" t="s">
        <v>17</v>
      </c>
      <c r="N962" t="s">
        <v>42</v>
      </c>
      <c r="O962">
        <v>482383338</v>
      </c>
      <c r="P962" s="1">
        <v>46022</v>
      </c>
      <c r="R962" s="7"/>
      <c r="S962" s="7"/>
    </row>
    <row r="963" spans="1:19" x14ac:dyDescent="0.3">
      <c r="A963" t="s">
        <v>1011</v>
      </c>
      <c r="B963" t="s">
        <v>24</v>
      </c>
      <c r="C963" t="s">
        <v>32</v>
      </c>
      <c r="D963" s="5">
        <v>22394</v>
      </c>
      <c r="E963">
        <v>6809.94</v>
      </c>
      <c r="F963" t="s">
        <v>33</v>
      </c>
      <c r="G963">
        <v>336</v>
      </c>
      <c r="H963" s="1">
        <f t="shared" si="15"/>
        <v>54727</v>
      </c>
      <c r="I963" t="s">
        <v>15</v>
      </c>
      <c r="J963" s="1">
        <v>44483</v>
      </c>
      <c r="K963" t="s">
        <v>22</v>
      </c>
      <c r="L963" s="3">
        <v>3.9300000000000002E-2</v>
      </c>
      <c r="M963" t="s">
        <v>29</v>
      </c>
      <c r="N963" t="s">
        <v>30</v>
      </c>
      <c r="O963">
        <v>0</v>
      </c>
      <c r="P963" s="1">
        <v>46022</v>
      </c>
      <c r="R963" s="7"/>
      <c r="S963" s="7"/>
    </row>
    <row r="964" spans="1:19" x14ac:dyDescent="0.3">
      <c r="A964" t="s">
        <v>1012</v>
      </c>
      <c r="B964" t="s">
        <v>12</v>
      </c>
      <c r="C964" t="s">
        <v>13</v>
      </c>
      <c r="D964" s="5">
        <v>29424353</v>
      </c>
      <c r="E964">
        <v>20593215.359999999</v>
      </c>
      <c r="F964" t="s">
        <v>33</v>
      </c>
      <c r="G964">
        <v>276</v>
      </c>
      <c r="H964" s="1">
        <f t="shared" si="15"/>
        <v>48822</v>
      </c>
      <c r="I964" t="s">
        <v>15</v>
      </c>
      <c r="J964" s="1">
        <v>40416</v>
      </c>
      <c r="K964" t="s">
        <v>39</v>
      </c>
      <c r="L964" s="3">
        <v>7.2800000000000004E-2</v>
      </c>
      <c r="M964" t="s">
        <v>17</v>
      </c>
      <c r="N964" t="s">
        <v>54</v>
      </c>
      <c r="O964">
        <v>42872911.740000002</v>
      </c>
      <c r="P964" s="1">
        <v>46022</v>
      </c>
      <c r="R964" s="7"/>
      <c r="S964" s="7"/>
    </row>
    <row r="965" spans="1:19" x14ac:dyDescent="0.3">
      <c r="A965" t="s">
        <v>1013</v>
      </c>
      <c r="B965" t="s">
        <v>24</v>
      </c>
      <c r="C965" t="s">
        <v>41</v>
      </c>
      <c r="D965" s="5">
        <v>56503</v>
      </c>
      <c r="E965">
        <v>9723.8700000000008</v>
      </c>
      <c r="F965" t="s">
        <v>14</v>
      </c>
      <c r="G965">
        <v>132</v>
      </c>
      <c r="H965" s="1">
        <f t="shared" si="15"/>
        <v>48638</v>
      </c>
      <c r="I965" t="s">
        <v>15</v>
      </c>
      <c r="J965" s="1">
        <v>44614</v>
      </c>
      <c r="K965" t="s">
        <v>35</v>
      </c>
      <c r="L965" s="3">
        <v>4.5999999999999999E-2</v>
      </c>
      <c r="M965" t="s">
        <v>17</v>
      </c>
      <c r="N965" t="s">
        <v>42</v>
      </c>
      <c r="O965">
        <v>65819</v>
      </c>
      <c r="P965" s="1">
        <v>46022</v>
      </c>
      <c r="R965" s="7"/>
      <c r="S965" s="7"/>
    </row>
    <row r="966" spans="1:19" x14ac:dyDescent="0.3">
      <c r="A966" t="s">
        <v>1014</v>
      </c>
      <c r="B966" t="s">
        <v>24</v>
      </c>
      <c r="C966" t="s">
        <v>41</v>
      </c>
      <c r="D966" s="5">
        <v>78290</v>
      </c>
      <c r="E966">
        <v>38960.980000000003</v>
      </c>
      <c r="F966" t="s">
        <v>14</v>
      </c>
      <c r="G966">
        <v>138</v>
      </c>
      <c r="H966" s="1">
        <f t="shared" si="15"/>
        <v>49248</v>
      </c>
      <c r="I966" t="s">
        <v>15</v>
      </c>
      <c r="J966" s="1">
        <v>45019</v>
      </c>
      <c r="K966" t="s">
        <v>39</v>
      </c>
      <c r="L966" s="3">
        <v>9.6199999999999994E-2</v>
      </c>
      <c r="M966" t="s">
        <v>17</v>
      </c>
      <c r="N966" t="s">
        <v>42</v>
      </c>
      <c r="O966">
        <v>84078.18</v>
      </c>
      <c r="P966" s="1">
        <v>46022</v>
      </c>
      <c r="R966" s="7"/>
      <c r="S966" s="7"/>
    </row>
    <row r="967" spans="1:19" x14ac:dyDescent="0.3">
      <c r="A967" t="s">
        <v>1015</v>
      </c>
      <c r="B967" t="s">
        <v>24</v>
      </c>
      <c r="C967" t="s">
        <v>32</v>
      </c>
      <c r="D967" s="5">
        <v>14842</v>
      </c>
      <c r="E967">
        <v>3666.5</v>
      </c>
      <c r="F967" t="s">
        <v>33</v>
      </c>
      <c r="G967">
        <v>180</v>
      </c>
      <c r="H967" s="1">
        <f t="shared" si="15"/>
        <v>47756</v>
      </c>
      <c r="I967" t="s">
        <v>15</v>
      </c>
      <c r="J967" s="1">
        <v>42251</v>
      </c>
      <c r="K967" t="s">
        <v>39</v>
      </c>
      <c r="L967" s="3">
        <v>6.2899999999999998E-2</v>
      </c>
      <c r="M967" t="s">
        <v>29</v>
      </c>
      <c r="N967" t="s">
        <v>30</v>
      </c>
      <c r="O967">
        <v>0</v>
      </c>
      <c r="P967" s="1">
        <v>46022</v>
      </c>
      <c r="R967" s="7"/>
      <c r="S967" s="7"/>
    </row>
    <row r="968" spans="1:19" x14ac:dyDescent="0.3">
      <c r="A968" t="s">
        <v>1016</v>
      </c>
      <c r="B968" t="s">
        <v>24</v>
      </c>
      <c r="C968" t="s">
        <v>28</v>
      </c>
      <c r="D968" s="5">
        <v>18299</v>
      </c>
      <c r="E968">
        <v>4867.8999999999996</v>
      </c>
      <c r="F968" t="s">
        <v>14</v>
      </c>
      <c r="G968">
        <v>60</v>
      </c>
      <c r="H968" s="1">
        <f t="shared" si="15"/>
        <v>46783</v>
      </c>
      <c r="I968" t="s">
        <v>15</v>
      </c>
      <c r="J968" s="1">
        <v>44947</v>
      </c>
      <c r="K968" t="s">
        <v>22</v>
      </c>
      <c r="L968" s="3">
        <v>5.67E-2</v>
      </c>
      <c r="M968" t="s">
        <v>29</v>
      </c>
      <c r="N968" t="s">
        <v>30</v>
      </c>
      <c r="O968">
        <v>0</v>
      </c>
      <c r="P968" s="1">
        <v>46022</v>
      </c>
      <c r="R968" s="7"/>
      <c r="S968" s="7"/>
    </row>
    <row r="969" spans="1:19" x14ac:dyDescent="0.3">
      <c r="A969" t="s">
        <v>1017</v>
      </c>
      <c r="B969" t="s">
        <v>24</v>
      </c>
      <c r="C969" t="s">
        <v>41</v>
      </c>
      <c r="D969" s="5">
        <v>90468</v>
      </c>
      <c r="E969">
        <v>25517.95</v>
      </c>
      <c r="F969" t="s">
        <v>14</v>
      </c>
      <c r="G969">
        <v>60</v>
      </c>
      <c r="H969" s="1">
        <f t="shared" si="15"/>
        <v>45138</v>
      </c>
      <c r="I969" t="s">
        <v>15</v>
      </c>
      <c r="J969" s="1">
        <v>43308</v>
      </c>
      <c r="K969" t="s">
        <v>39</v>
      </c>
      <c r="L969" s="3">
        <v>7.6200000000000004E-2</v>
      </c>
      <c r="M969" t="s">
        <v>17</v>
      </c>
      <c r="N969" t="s">
        <v>42</v>
      </c>
      <c r="O969">
        <v>97453.57</v>
      </c>
      <c r="P969" s="1">
        <v>46022</v>
      </c>
      <c r="R969" s="7"/>
      <c r="S969" s="7"/>
    </row>
    <row r="970" spans="1:19" x14ac:dyDescent="0.3">
      <c r="A970" t="s">
        <v>1018</v>
      </c>
      <c r="B970" t="s">
        <v>24</v>
      </c>
      <c r="C970" t="s">
        <v>41</v>
      </c>
      <c r="D970" s="5">
        <v>95181</v>
      </c>
      <c r="E970">
        <v>42644.59</v>
      </c>
      <c r="F970" t="s">
        <v>14</v>
      </c>
      <c r="G970">
        <v>126</v>
      </c>
      <c r="H970" s="1">
        <f t="shared" si="15"/>
        <v>46081</v>
      </c>
      <c r="I970" t="s">
        <v>15</v>
      </c>
      <c r="J970" s="1">
        <v>42221</v>
      </c>
      <c r="K970" t="s">
        <v>22</v>
      </c>
      <c r="L970" s="3">
        <v>4.6300000000000001E-2</v>
      </c>
      <c r="M970" t="s">
        <v>17</v>
      </c>
      <c r="N970" t="s">
        <v>42</v>
      </c>
      <c r="O970">
        <v>113055.47</v>
      </c>
      <c r="P970" s="1">
        <v>46022</v>
      </c>
      <c r="R970" s="7"/>
      <c r="S970" s="7"/>
    </row>
    <row r="971" spans="1:19" x14ac:dyDescent="0.3">
      <c r="A971" t="s">
        <v>1019</v>
      </c>
      <c r="B971" t="s">
        <v>24</v>
      </c>
      <c r="C971" t="s">
        <v>25</v>
      </c>
      <c r="D971" s="5">
        <v>903302</v>
      </c>
      <c r="E971">
        <v>131913.93</v>
      </c>
      <c r="F971" t="s">
        <v>14</v>
      </c>
      <c r="G971">
        <v>66</v>
      </c>
      <c r="H971" s="1">
        <f t="shared" si="15"/>
        <v>46173</v>
      </c>
      <c r="I971" t="s">
        <v>15</v>
      </c>
      <c r="J971" s="1">
        <v>44148</v>
      </c>
      <c r="K971" t="s">
        <v>16</v>
      </c>
      <c r="L971" s="3">
        <v>7.6999999999999999E-2</v>
      </c>
      <c r="M971" t="s">
        <v>17</v>
      </c>
      <c r="N971" t="s">
        <v>26</v>
      </c>
      <c r="O971">
        <v>1282080.8700000001</v>
      </c>
      <c r="P971" s="1">
        <v>46022</v>
      </c>
      <c r="R971" s="7"/>
      <c r="S971" s="7"/>
    </row>
    <row r="972" spans="1:19" x14ac:dyDescent="0.3">
      <c r="A972" t="s">
        <v>1020</v>
      </c>
      <c r="B972" t="s">
        <v>24</v>
      </c>
      <c r="C972" t="s">
        <v>32</v>
      </c>
      <c r="D972" s="5">
        <v>21553</v>
      </c>
      <c r="E972">
        <v>9871.5499999999993</v>
      </c>
      <c r="F972" t="s">
        <v>33</v>
      </c>
      <c r="G972">
        <v>60</v>
      </c>
      <c r="H972" s="1">
        <f t="shared" si="15"/>
        <v>46477</v>
      </c>
      <c r="I972" t="s">
        <v>15</v>
      </c>
      <c r="J972" s="1">
        <v>44651</v>
      </c>
      <c r="K972" t="s">
        <v>22</v>
      </c>
      <c r="L972" s="3">
        <v>4.6199999999999998E-2</v>
      </c>
      <c r="M972" t="s">
        <v>29</v>
      </c>
      <c r="N972" t="s">
        <v>30</v>
      </c>
      <c r="O972">
        <v>0</v>
      </c>
      <c r="P972" s="1">
        <v>46022</v>
      </c>
      <c r="R972" s="7"/>
      <c r="S972" s="7"/>
    </row>
    <row r="973" spans="1:19" x14ac:dyDescent="0.3">
      <c r="A973" t="s">
        <v>1021</v>
      </c>
      <c r="B973" t="s">
        <v>24</v>
      </c>
      <c r="C973" t="s">
        <v>41</v>
      </c>
      <c r="D973" s="5">
        <v>80233</v>
      </c>
      <c r="E973">
        <v>44973.49</v>
      </c>
      <c r="F973" t="s">
        <v>14</v>
      </c>
      <c r="G973">
        <v>210</v>
      </c>
      <c r="H973" s="1">
        <f t="shared" si="15"/>
        <v>48760</v>
      </c>
      <c r="I973" t="s">
        <v>15</v>
      </c>
      <c r="J973" s="1">
        <v>42362</v>
      </c>
      <c r="K973" t="s">
        <v>39</v>
      </c>
      <c r="L973" s="3">
        <v>6.7099999999999993E-2</v>
      </c>
      <c r="M973" t="s">
        <v>17</v>
      </c>
      <c r="N973" t="s">
        <v>42</v>
      </c>
      <c r="O973">
        <v>90482.33</v>
      </c>
      <c r="P973" s="1">
        <v>46022</v>
      </c>
      <c r="R973" s="7"/>
      <c r="S973" s="7"/>
    </row>
    <row r="974" spans="1:19" x14ac:dyDescent="0.3">
      <c r="A974" t="s">
        <v>1022</v>
      </c>
      <c r="B974" t="s">
        <v>20</v>
      </c>
      <c r="C974" t="s">
        <v>47</v>
      </c>
      <c r="D974" s="5">
        <v>2407862</v>
      </c>
      <c r="E974">
        <v>1288121.49</v>
      </c>
      <c r="F974" t="s">
        <v>14</v>
      </c>
      <c r="G974">
        <v>162</v>
      </c>
      <c r="H974" s="1">
        <f t="shared" si="15"/>
        <v>47514</v>
      </c>
      <c r="I974" t="s">
        <v>15</v>
      </c>
      <c r="J974" s="1">
        <v>42571</v>
      </c>
      <c r="K974" t="s">
        <v>39</v>
      </c>
      <c r="L974" s="3">
        <v>6.7400000000000002E-2</v>
      </c>
      <c r="M974" t="s">
        <v>17</v>
      </c>
      <c r="N974" t="s">
        <v>26</v>
      </c>
      <c r="O974">
        <v>3065394.35</v>
      </c>
      <c r="P974" s="1">
        <v>46022</v>
      </c>
      <c r="R974" s="7"/>
      <c r="S974" s="7"/>
    </row>
    <row r="975" spans="1:19" x14ac:dyDescent="0.3">
      <c r="A975" t="s">
        <v>1023</v>
      </c>
      <c r="B975" t="s">
        <v>24</v>
      </c>
      <c r="C975" t="s">
        <v>41</v>
      </c>
      <c r="D975" s="5">
        <v>54779</v>
      </c>
      <c r="E975">
        <v>24349.39</v>
      </c>
      <c r="F975" t="s">
        <v>14</v>
      </c>
      <c r="G975">
        <v>294</v>
      </c>
      <c r="H975" s="1">
        <f t="shared" si="15"/>
        <v>51379</v>
      </c>
      <c r="I975" t="s">
        <v>15</v>
      </c>
      <c r="J975" s="1">
        <v>42404</v>
      </c>
      <c r="K975" t="s">
        <v>22</v>
      </c>
      <c r="L975" s="3">
        <v>4.4699999999999997E-2</v>
      </c>
      <c r="M975" t="s">
        <v>17</v>
      </c>
      <c r="N975" t="s">
        <v>42</v>
      </c>
      <c r="O975">
        <v>62202.31</v>
      </c>
      <c r="P975" s="1">
        <v>46022</v>
      </c>
      <c r="R975" s="7"/>
      <c r="S975" s="7"/>
    </row>
    <row r="976" spans="1:19" x14ac:dyDescent="0.3">
      <c r="A976" t="s">
        <v>1024</v>
      </c>
      <c r="B976" t="s">
        <v>12</v>
      </c>
      <c r="C976" t="s">
        <v>61</v>
      </c>
      <c r="D976" s="5">
        <v>11029325</v>
      </c>
      <c r="E976">
        <v>9432631.3900000006</v>
      </c>
      <c r="F976" t="s">
        <v>48</v>
      </c>
      <c r="G976">
        <v>60</v>
      </c>
      <c r="H976" s="1">
        <f t="shared" si="15"/>
        <v>47149</v>
      </c>
      <c r="I976" t="s">
        <v>15</v>
      </c>
      <c r="J976" s="1">
        <v>45317</v>
      </c>
      <c r="K976" t="s">
        <v>35</v>
      </c>
      <c r="L976" s="3">
        <v>5.57E-2</v>
      </c>
      <c r="M976" t="s">
        <v>17</v>
      </c>
      <c r="N976" t="s">
        <v>26</v>
      </c>
      <c r="O976">
        <v>16870702.350000001</v>
      </c>
      <c r="P976" s="1">
        <v>46022</v>
      </c>
      <c r="R976" s="7"/>
      <c r="S976" s="7"/>
    </row>
    <row r="977" spans="1:19" x14ac:dyDescent="0.3">
      <c r="A977" t="s">
        <v>1025</v>
      </c>
      <c r="B977" t="s">
        <v>37</v>
      </c>
      <c r="C977" t="s">
        <v>144</v>
      </c>
      <c r="D977" s="5">
        <v>299653849</v>
      </c>
      <c r="E977">
        <v>69158317.280000001</v>
      </c>
      <c r="F977" t="s">
        <v>33</v>
      </c>
      <c r="G977">
        <v>144</v>
      </c>
      <c r="H977" s="1">
        <f t="shared" si="15"/>
        <v>49765</v>
      </c>
      <c r="I977" t="s">
        <v>15</v>
      </c>
      <c r="J977" s="1">
        <v>45370</v>
      </c>
      <c r="K977" t="s">
        <v>22</v>
      </c>
      <c r="L977" s="3">
        <v>6.9599999999999995E-2</v>
      </c>
      <c r="M977" t="s">
        <v>17</v>
      </c>
      <c r="N977" t="s">
        <v>54</v>
      </c>
      <c r="O977">
        <v>476477047.19999999</v>
      </c>
      <c r="P977" s="1">
        <v>46022</v>
      </c>
      <c r="R977" s="7"/>
      <c r="S977" s="7"/>
    </row>
    <row r="978" spans="1:19" x14ac:dyDescent="0.3">
      <c r="A978" t="s">
        <v>1026</v>
      </c>
      <c r="B978" t="s">
        <v>24</v>
      </c>
      <c r="C978" t="s">
        <v>41</v>
      </c>
      <c r="D978" s="5">
        <v>26752</v>
      </c>
      <c r="E978">
        <v>14850.89</v>
      </c>
      <c r="F978" t="s">
        <v>14</v>
      </c>
      <c r="G978">
        <v>186</v>
      </c>
      <c r="H978" s="1">
        <f t="shared" si="15"/>
        <v>47330</v>
      </c>
      <c r="I978" t="s">
        <v>15</v>
      </c>
      <c r="J978" s="1">
        <v>41667</v>
      </c>
      <c r="K978" t="s">
        <v>39</v>
      </c>
      <c r="L978" s="3">
        <v>7.3899999999999993E-2</v>
      </c>
      <c r="M978" t="s">
        <v>17</v>
      </c>
      <c r="N978" t="s">
        <v>42</v>
      </c>
      <c r="O978">
        <v>28789.040000000001</v>
      </c>
      <c r="P978" s="1">
        <v>46022</v>
      </c>
      <c r="R978" s="7"/>
      <c r="S978" s="7"/>
    </row>
    <row r="979" spans="1:19" x14ac:dyDescent="0.3">
      <c r="A979" t="s">
        <v>1027</v>
      </c>
      <c r="B979" t="s">
        <v>24</v>
      </c>
      <c r="C979" t="s">
        <v>28</v>
      </c>
      <c r="D979" s="5">
        <v>17247</v>
      </c>
      <c r="E979">
        <v>2687.67</v>
      </c>
      <c r="F979" t="s">
        <v>14</v>
      </c>
      <c r="G979">
        <v>198</v>
      </c>
      <c r="H979" s="1">
        <f t="shared" si="15"/>
        <v>48669</v>
      </c>
      <c r="I979" t="s">
        <v>15</v>
      </c>
      <c r="J979" s="1">
        <v>42629</v>
      </c>
      <c r="K979" t="s">
        <v>35</v>
      </c>
      <c r="L979" s="3">
        <v>2.8900000000000002E-2</v>
      </c>
      <c r="M979" t="s">
        <v>29</v>
      </c>
      <c r="N979" t="s">
        <v>30</v>
      </c>
      <c r="O979">
        <v>0</v>
      </c>
      <c r="P979" s="1">
        <v>46022</v>
      </c>
      <c r="R979" s="7"/>
      <c r="S979" s="7"/>
    </row>
    <row r="980" spans="1:19" x14ac:dyDescent="0.3">
      <c r="A980" t="s">
        <v>1028</v>
      </c>
      <c r="B980" t="s">
        <v>24</v>
      </c>
      <c r="C980" t="s">
        <v>25</v>
      </c>
      <c r="D980" s="5">
        <v>869527</v>
      </c>
      <c r="E980">
        <v>142637.34</v>
      </c>
      <c r="F980" t="s">
        <v>14</v>
      </c>
      <c r="G980">
        <v>234</v>
      </c>
      <c r="H980" s="1">
        <f t="shared" si="15"/>
        <v>47938</v>
      </c>
      <c r="I980" t="s">
        <v>15</v>
      </c>
      <c r="J980" s="1">
        <v>40807</v>
      </c>
      <c r="K980" t="s">
        <v>22</v>
      </c>
      <c r="L980" s="3">
        <v>6.0899999999999996E-2</v>
      </c>
      <c r="M980" t="s">
        <v>17</v>
      </c>
      <c r="N980" t="s">
        <v>26</v>
      </c>
      <c r="O980">
        <v>1233000.22</v>
      </c>
      <c r="P980" s="1">
        <v>46022</v>
      </c>
      <c r="R980" s="7"/>
      <c r="S980" s="7"/>
    </row>
    <row r="981" spans="1:19" x14ac:dyDescent="0.3">
      <c r="A981" t="s">
        <v>1029</v>
      </c>
      <c r="B981" t="s">
        <v>24</v>
      </c>
      <c r="C981" t="s">
        <v>25</v>
      </c>
      <c r="D981" s="5">
        <v>286368</v>
      </c>
      <c r="E981">
        <v>176540.08</v>
      </c>
      <c r="F981" t="s">
        <v>14</v>
      </c>
      <c r="G981">
        <v>180</v>
      </c>
      <c r="H981" s="1">
        <f t="shared" si="15"/>
        <v>50313</v>
      </c>
      <c r="I981" t="s">
        <v>15</v>
      </c>
      <c r="J981" s="1">
        <v>44819</v>
      </c>
      <c r="K981" t="s">
        <v>39</v>
      </c>
      <c r="L981" s="3">
        <v>7.85E-2</v>
      </c>
      <c r="M981" t="s">
        <v>17</v>
      </c>
      <c r="N981" t="s">
        <v>26</v>
      </c>
      <c r="O981">
        <v>343642.16</v>
      </c>
      <c r="P981" s="1">
        <v>46022</v>
      </c>
      <c r="R981" s="7"/>
      <c r="S981" s="7"/>
    </row>
    <row r="982" spans="1:19" x14ac:dyDescent="0.3">
      <c r="A982" t="s">
        <v>1030</v>
      </c>
      <c r="B982" t="s">
        <v>24</v>
      </c>
      <c r="C982" t="s">
        <v>25</v>
      </c>
      <c r="D982" s="5">
        <v>164042</v>
      </c>
      <c r="E982">
        <v>99970.2</v>
      </c>
      <c r="F982" t="s">
        <v>14</v>
      </c>
      <c r="G982">
        <v>276</v>
      </c>
      <c r="H982" s="1">
        <f t="shared" si="15"/>
        <v>53600</v>
      </c>
      <c r="I982" t="s">
        <v>15</v>
      </c>
      <c r="J982" s="1">
        <v>45189</v>
      </c>
      <c r="K982" t="s">
        <v>22</v>
      </c>
      <c r="L982" s="3">
        <v>7.0800000000000002E-2</v>
      </c>
      <c r="M982" t="s">
        <v>17</v>
      </c>
      <c r="N982" t="s">
        <v>26</v>
      </c>
      <c r="O982">
        <v>206021.48</v>
      </c>
      <c r="P982" s="1">
        <v>46022</v>
      </c>
      <c r="R982" s="7"/>
      <c r="S982" s="7"/>
    </row>
    <row r="983" spans="1:19" x14ac:dyDescent="0.3">
      <c r="A983" t="s">
        <v>1031</v>
      </c>
      <c r="B983" t="s">
        <v>24</v>
      </c>
      <c r="C983" t="s">
        <v>32</v>
      </c>
      <c r="D983" s="5">
        <v>4381</v>
      </c>
      <c r="E983">
        <v>3900.43</v>
      </c>
      <c r="F983" t="s">
        <v>33</v>
      </c>
      <c r="G983">
        <v>222</v>
      </c>
      <c r="H983" s="1">
        <f t="shared" si="15"/>
        <v>47968</v>
      </c>
      <c r="I983" t="s">
        <v>15</v>
      </c>
      <c r="J983" s="1">
        <v>41187</v>
      </c>
      <c r="K983" t="s">
        <v>39</v>
      </c>
      <c r="L983" s="3">
        <v>6.7299999999999999E-2</v>
      </c>
      <c r="M983" t="s">
        <v>29</v>
      </c>
      <c r="N983" t="s">
        <v>30</v>
      </c>
      <c r="O983">
        <v>0</v>
      </c>
      <c r="P983" s="1">
        <v>46022</v>
      </c>
      <c r="R983" s="7"/>
      <c r="S983" s="7"/>
    </row>
    <row r="984" spans="1:19" x14ac:dyDescent="0.3">
      <c r="A984" t="s">
        <v>1032</v>
      </c>
      <c r="B984" t="s">
        <v>37</v>
      </c>
      <c r="C984" t="s">
        <v>78</v>
      </c>
      <c r="D984" s="5">
        <v>470984415</v>
      </c>
      <c r="E984">
        <v>283573267.60000002</v>
      </c>
      <c r="F984" t="s">
        <v>33</v>
      </c>
      <c r="G984">
        <v>306</v>
      </c>
      <c r="H984" s="1">
        <f t="shared" si="15"/>
        <v>53782</v>
      </c>
      <c r="I984" t="s">
        <v>15</v>
      </c>
      <c r="J984" s="1">
        <v>44459</v>
      </c>
      <c r="K984" t="s">
        <v>35</v>
      </c>
      <c r="L984" s="3">
        <v>2.76E-2</v>
      </c>
      <c r="M984" t="s">
        <v>17</v>
      </c>
      <c r="N984" t="s">
        <v>18</v>
      </c>
      <c r="O984">
        <v>717111552.5</v>
      </c>
      <c r="P984" s="1">
        <v>46022</v>
      </c>
      <c r="R984" s="7"/>
      <c r="S984" s="7"/>
    </row>
    <row r="985" spans="1:19" x14ac:dyDescent="0.3">
      <c r="A985" t="s">
        <v>1033</v>
      </c>
      <c r="B985" t="s">
        <v>20</v>
      </c>
      <c r="C985" t="s">
        <v>47</v>
      </c>
      <c r="D985" s="5">
        <v>2559256</v>
      </c>
      <c r="E985">
        <v>2466641.6</v>
      </c>
      <c r="F985" t="s">
        <v>33</v>
      </c>
      <c r="G985">
        <v>168</v>
      </c>
      <c r="H985" s="1">
        <f t="shared" si="15"/>
        <v>46477</v>
      </c>
      <c r="I985" t="s">
        <v>15</v>
      </c>
      <c r="J985" s="1">
        <v>41334</v>
      </c>
      <c r="K985" t="s">
        <v>35</v>
      </c>
      <c r="L985" s="3">
        <v>4.1399999999999999E-2</v>
      </c>
      <c r="M985" t="s">
        <v>17</v>
      </c>
      <c r="N985" t="s">
        <v>42</v>
      </c>
      <c r="O985">
        <v>3186542.86</v>
      </c>
      <c r="P985" s="1">
        <v>46022</v>
      </c>
      <c r="R985" s="7"/>
      <c r="S985" s="7"/>
    </row>
    <row r="986" spans="1:19" x14ac:dyDescent="0.3">
      <c r="A986" t="s">
        <v>1034</v>
      </c>
      <c r="B986" t="s">
        <v>20</v>
      </c>
      <c r="C986" t="s">
        <v>89</v>
      </c>
      <c r="D986" s="5">
        <v>2076590</v>
      </c>
      <c r="E986">
        <v>298666.28000000003</v>
      </c>
      <c r="F986" t="s">
        <v>33</v>
      </c>
      <c r="G986">
        <v>360</v>
      </c>
      <c r="H986" s="1">
        <f t="shared" si="15"/>
        <v>54209</v>
      </c>
      <c r="I986" t="s">
        <v>15</v>
      </c>
      <c r="J986" s="1">
        <v>43223</v>
      </c>
      <c r="K986" t="s">
        <v>39</v>
      </c>
      <c r="L986" s="3">
        <v>7.3200000000000001E-2</v>
      </c>
      <c r="M986" t="s">
        <v>17</v>
      </c>
      <c r="N986" t="s">
        <v>42</v>
      </c>
      <c r="O986">
        <v>2815305.02</v>
      </c>
      <c r="P986" s="1">
        <v>46022</v>
      </c>
      <c r="R986" s="7"/>
      <c r="S986" s="7"/>
    </row>
    <row r="987" spans="1:19" x14ac:dyDescent="0.3">
      <c r="A987" t="s">
        <v>1035</v>
      </c>
      <c r="B987" t="s">
        <v>24</v>
      </c>
      <c r="C987" t="s">
        <v>41</v>
      </c>
      <c r="D987" s="5">
        <v>82979</v>
      </c>
      <c r="E987">
        <v>15617.23</v>
      </c>
      <c r="F987" t="s">
        <v>14</v>
      </c>
      <c r="G987">
        <v>186</v>
      </c>
      <c r="H987" s="1">
        <f t="shared" si="15"/>
        <v>49795</v>
      </c>
      <c r="I987" t="s">
        <v>15</v>
      </c>
      <c r="J987" s="1">
        <v>44126</v>
      </c>
      <c r="K987" t="s">
        <v>56</v>
      </c>
      <c r="L987" s="3">
        <v>1.7399999999999999E-2</v>
      </c>
      <c r="M987" t="s">
        <v>17</v>
      </c>
      <c r="N987" t="s">
        <v>42</v>
      </c>
      <c r="O987">
        <v>90922.06</v>
      </c>
      <c r="P987" s="1">
        <v>46022</v>
      </c>
      <c r="R987" s="7"/>
      <c r="S987" s="7"/>
    </row>
    <row r="988" spans="1:19" x14ac:dyDescent="0.3">
      <c r="A988" t="s">
        <v>1036</v>
      </c>
      <c r="B988" t="s">
        <v>24</v>
      </c>
      <c r="C988" t="s">
        <v>41</v>
      </c>
      <c r="D988" s="5">
        <v>85224</v>
      </c>
      <c r="E988">
        <v>11902.37</v>
      </c>
      <c r="F988" t="s">
        <v>14</v>
      </c>
      <c r="G988">
        <v>120</v>
      </c>
      <c r="H988" s="1">
        <f t="shared" si="15"/>
        <v>47361</v>
      </c>
      <c r="I988" t="s">
        <v>15</v>
      </c>
      <c r="J988" s="1">
        <v>43701</v>
      </c>
      <c r="K988" t="s">
        <v>22</v>
      </c>
      <c r="L988" s="3">
        <v>5.7300000000000004E-2</v>
      </c>
      <c r="M988" t="s">
        <v>17</v>
      </c>
      <c r="N988" t="s">
        <v>42</v>
      </c>
      <c r="O988">
        <v>102378.22</v>
      </c>
      <c r="P988" s="1">
        <v>46022</v>
      </c>
      <c r="R988" s="7"/>
      <c r="S988" s="7"/>
    </row>
    <row r="989" spans="1:19" x14ac:dyDescent="0.3">
      <c r="A989" t="s">
        <v>1037</v>
      </c>
      <c r="B989" t="s">
        <v>24</v>
      </c>
      <c r="C989" t="s">
        <v>41</v>
      </c>
      <c r="D989" s="5">
        <v>39897</v>
      </c>
      <c r="E989">
        <v>10642.54</v>
      </c>
      <c r="F989" t="s">
        <v>14</v>
      </c>
      <c r="G989">
        <v>138</v>
      </c>
      <c r="H989" s="1">
        <f t="shared" si="15"/>
        <v>45991</v>
      </c>
      <c r="I989" t="s">
        <v>15</v>
      </c>
      <c r="J989" s="1">
        <v>41768</v>
      </c>
      <c r="K989" t="s">
        <v>16</v>
      </c>
      <c r="L989" s="3">
        <v>9.7699999999999995E-2</v>
      </c>
      <c r="M989" t="s">
        <v>17</v>
      </c>
      <c r="N989" t="s">
        <v>42</v>
      </c>
      <c r="O989">
        <v>46285.2</v>
      </c>
      <c r="P989" s="1">
        <v>46022</v>
      </c>
      <c r="R989" s="7"/>
      <c r="S989" s="7"/>
    </row>
    <row r="990" spans="1:19" x14ac:dyDescent="0.3">
      <c r="A990" t="s">
        <v>1038</v>
      </c>
      <c r="B990" t="s">
        <v>37</v>
      </c>
      <c r="C990" t="s">
        <v>78</v>
      </c>
      <c r="D990" s="5">
        <v>349872848</v>
      </c>
      <c r="E990">
        <v>205425428.59999999</v>
      </c>
      <c r="F990" t="s">
        <v>48</v>
      </c>
      <c r="G990">
        <v>342</v>
      </c>
      <c r="H990" s="1">
        <f t="shared" si="15"/>
        <v>52809</v>
      </c>
      <c r="I990" t="s">
        <v>15</v>
      </c>
      <c r="J990" s="1">
        <v>42395</v>
      </c>
      <c r="K990" t="s">
        <v>22</v>
      </c>
      <c r="L990" s="3">
        <v>3.8300000000000001E-2</v>
      </c>
      <c r="M990" t="s">
        <v>17</v>
      </c>
      <c r="N990" t="s">
        <v>18</v>
      </c>
      <c r="O990">
        <v>557486609.5</v>
      </c>
      <c r="P990" s="1">
        <v>46022</v>
      </c>
      <c r="R990" s="7"/>
      <c r="S990" s="7"/>
    </row>
    <row r="991" spans="1:19" x14ac:dyDescent="0.3">
      <c r="A991" t="s">
        <v>1039</v>
      </c>
      <c r="B991" t="s">
        <v>24</v>
      </c>
      <c r="C991" t="s">
        <v>32</v>
      </c>
      <c r="D991" s="5">
        <v>38785</v>
      </c>
      <c r="E991" s="4">
        <v>26413.18</v>
      </c>
      <c r="F991" t="s">
        <v>33</v>
      </c>
      <c r="G991">
        <v>60</v>
      </c>
      <c r="H991" s="1">
        <f t="shared" si="15"/>
        <v>45838</v>
      </c>
      <c r="I991" t="s">
        <v>15</v>
      </c>
      <c r="J991" s="1">
        <v>43983</v>
      </c>
      <c r="K991" t="s">
        <v>101</v>
      </c>
      <c r="L991" s="3">
        <v>0.12890000000000001</v>
      </c>
      <c r="M991" t="s">
        <v>29</v>
      </c>
      <c r="N991" t="s">
        <v>30</v>
      </c>
      <c r="O991">
        <v>0</v>
      </c>
      <c r="P991" s="1">
        <v>46022</v>
      </c>
      <c r="R991" s="7"/>
      <c r="S991" s="7"/>
    </row>
    <row r="992" spans="1:19" x14ac:dyDescent="0.3">
      <c r="A992" t="s">
        <v>1040</v>
      </c>
      <c r="B992" t="s">
        <v>37</v>
      </c>
      <c r="C992" t="s">
        <v>144</v>
      </c>
      <c r="D992" s="5">
        <v>330778837</v>
      </c>
      <c r="E992" s="4">
        <v>46648628.619999997</v>
      </c>
      <c r="F992" t="s">
        <v>14</v>
      </c>
      <c r="G992">
        <v>240</v>
      </c>
      <c r="H992" s="1">
        <f t="shared" si="15"/>
        <v>48699</v>
      </c>
      <c r="I992" t="s">
        <v>15</v>
      </c>
      <c r="J992" s="1">
        <v>41379</v>
      </c>
      <c r="K992" t="s">
        <v>39</v>
      </c>
      <c r="L992" s="3">
        <v>0.1399</v>
      </c>
      <c r="M992" t="s">
        <v>17</v>
      </c>
      <c r="N992" t="s">
        <v>42</v>
      </c>
      <c r="O992">
        <v>398677117.30000001</v>
      </c>
      <c r="P992" s="1">
        <v>46022</v>
      </c>
      <c r="R992" s="7"/>
      <c r="S992" s="7"/>
    </row>
    <row r="993" spans="1:19" x14ac:dyDescent="0.3">
      <c r="A993" t="s">
        <v>1041</v>
      </c>
      <c r="B993" t="s">
        <v>12</v>
      </c>
      <c r="C993" t="s">
        <v>26</v>
      </c>
      <c r="D993" s="5">
        <v>8428159</v>
      </c>
      <c r="E993">
        <v>8018329.3499999996</v>
      </c>
      <c r="F993" t="s">
        <v>48</v>
      </c>
      <c r="G993">
        <v>246</v>
      </c>
      <c r="H993" s="1">
        <f t="shared" si="15"/>
        <v>49856</v>
      </c>
      <c r="I993" t="s">
        <v>15</v>
      </c>
      <c r="J993" s="1">
        <v>42367</v>
      </c>
      <c r="K993" t="s">
        <v>22</v>
      </c>
      <c r="L993" s="3">
        <v>4.4500000000000005E-2</v>
      </c>
      <c r="M993" t="s">
        <v>29</v>
      </c>
      <c r="N993" t="s">
        <v>30</v>
      </c>
      <c r="O993">
        <v>0</v>
      </c>
      <c r="P993" s="1">
        <v>46022</v>
      </c>
      <c r="R993" s="7"/>
      <c r="S993" s="7"/>
    </row>
    <row r="994" spans="1:19" x14ac:dyDescent="0.3">
      <c r="A994" t="s">
        <v>1042</v>
      </c>
      <c r="B994" t="s">
        <v>24</v>
      </c>
      <c r="C994" t="s">
        <v>28</v>
      </c>
      <c r="D994" s="5">
        <v>43918</v>
      </c>
      <c r="E994">
        <v>37679.629999999997</v>
      </c>
      <c r="F994" t="s">
        <v>14</v>
      </c>
      <c r="G994">
        <v>162</v>
      </c>
      <c r="H994" s="1">
        <f t="shared" si="15"/>
        <v>46721</v>
      </c>
      <c r="I994" t="s">
        <v>15</v>
      </c>
      <c r="J994" s="1">
        <v>41775</v>
      </c>
      <c r="K994" t="s">
        <v>56</v>
      </c>
      <c r="L994" s="3">
        <v>3.3500000000000002E-2</v>
      </c>
      <c r="M994" t="s">
        <v>29</v>
      </c>
      <c r="N994" t="s">
        <v>30</v>
      </c>
      <c r="O994">
        <v>0</v>
      </c>
      <c r="P994" s="1">
        <v>46022</v>
      </c>
      <c r="R994" s="7"/>
      <c r="S994" s="7"/>
    </row>
    <row r="995" spans="1:19" x14ac:dyDescent="0.3">
      <c r="A995" t="s">
        <v>1043</v>
      </c>
      <c r="B995" t="s">
        <v>24</v>
      </c>
      <c r="C995" t="s">
        <v>28</v>
      </c>
      <c r="D995" s="5">
        <v>27416</v>
      </c>
      <c r="E995">
        <v>10060.200000000001</v>
      </c>
      <c r="F995" t="s">
        <v>14</v>
      </c>
      <c r="G995">
        <v>210</v>
      </c>
      <c r="H995" s="1">
        <f t="shared" si="15"/>
        <v>49003</v>
      </c>
      <c r="I995" t="s">
        <v>15</v>
      </c>
      <c r="J995" s="1">
        <v>42590</v>
      </c>
      <c r="K995" t="s">
        <v>39</v>
      </c>
      <c r="L995" s="3">
        <v>6.2699999999999992E-2</v>
      </c>
      <c r="M995" t="s">
        <v>29</v>
      </c>
      <c r="N995" t="s">
        <v>30</v>
      </c>
      <c r="O995">
        <v>0</v>
      </c>
      <c r="P995" s="1">
        <v>46022</v>
      </c>
      <c r="R995" s="7"/>
      <c r="S995" s="7"/>
    </row>
    <row r="996" spans="1:19" x14ac:dyDescent="0.3">
      <c r="A996" t="s">
        <v>1044</v>
      </c>
      <c r="B996" t="s">
        <v>20</v>
      </c>
      <c r="C996" t="s">
        <v>89</v>
      </c>
      <c r="D996" s="5">
        <v>1448239</v>
      </c>
      <c r="E996">
        <v>245431.21</v>
      </c>
      <c r="F996" t="s">
        <v>48</v>
      </c>
      <c r="G996">
        <v>120</v>
      </c>
      <c r="H996" s="1">
        <f t="shared" si="15"/>
        <v>46691</v>
      </c>
      <c r="I996" t="s">
        <v>15</v>
      </c>
      <c r="J996" s="1">
        <v>43011</v>
      </c>
      <c r="K996" t="s">
        <v>22</v>
      </c>
      <c r="L996" s="3">
        <v>4.6300000000000001E-2</v>
      </c>
      <c r="M996" t="s">
        <v>17</v>
      </c>
      <c r="N996" t="s">
        <v>26</v>
      </c>
      <c r="O996">
        <v>2019827.29</v>
      </c>
      <c r="P996" s="1">
        <v>46022</v>
      </c>
      <c r="R996" s="7"/>
      <c r="S996" s="7"/>
    </row>
    <row r="997" spans="1:19" x14ac:dyDescent="0.3">
      <c r="A997" t="s">
        <v>1045</v>
      </c>
      <c r="B997" t="s">
        <v>24</v>
      </c>
      <c r="C997" t="s">
        <v>28</v>
      </c>
      <c r="D997" s="5">
        <v>21836</v>
      </c>
      <c r="E997">
        <v>5522.33</v>
      </c>
      <c r="F997" t="s">
        <v>33</v>
      </c>
      <c r="G997">
        <v>234</v>
      </c>
      <c r="H997" s="1">
        <f t="shared" si="15"/>
        <v>51317</v>
      </c>
      <c r="I997" t="s">
        <v>15</v>
      </c>
      <c r="J997" s="1">
        <v>44166</v>
      </c>
      <c r="K997" t="s">
        <v>35</v>
      </c>
      <c r="L997" s="3">
        <v>1.9099999999999999E-2</v>
      </c>
      <c r="M997" t="s">
        <v>29</v>
      </c>
      <c r="N997" t="s">
        <v>30</v>
      </c>
      <c r="O997">
        <v>0</v>
      </c>
      <c r="P997" s="1">
        <v>46022</v>
      </c>
      <c r="R997" s="7"/>
      <c r="S997" s="7"/>
    </row>
    <row r="998" spans="1:19" x14ac:dyDescent="0.3">
      <c r="A998" t="s">
        <v>1046</v>
      </c>
      <c r="B998" t="s">
        <v>24</v>
      </c>
      <c r="C998" t="s">
        <v>32</v>
      </c>
      <c r="D998" s="5">
        <v>2841</v>
      </c>
      <c r="E998">
        <v>608.67999999999995</v>
      </c>
      <c r="F998" t="s">
        <v>33</v>
      </c>
      <c r="G998">
        <v>222</v>
      </c>
      <c r="H998" s="1">
        <f t="shared" si="15"/>
        <v>47330</v>
      </c>
      <c r="I998" t="s">
        <v>15</v>
      </c>
      <c r="J998" s="1">
        <v>40569</v>
      </c>
      <c r="K998" t="s">
        <v>39</v>
      </c>
      <c r="L998" s="3">
        <v>7.2499999999999995E-2</v>
      </c>
      <c r="M998" t="s">
        <v>29</v>
      </c>
      <c r="N998" t="s">
        <v>30</v>
      </c>
      <c r="O998">
        <v>0</v>
      </c>
      <c r="P998" s="1">
        <v>46022</v>
      </c>
      <c r="R998" s="7"/>
      <c r="S998" s="7"/>
    </row>
    <row r="999" spans="1:19" x14ac:dyDescent="0.3">
      <c r="A999" t="s">
        <v>1047</v>
      </c>
      <c r="B999" t="s">
        <v>24</v>
      </c>
      <c r="C999" t="s">
        <v>28</v>
      </c>
      <c r="D999" s="5">
        <v>7265</v>
      </c>
      <c r="E999">
        <v>1532.69</v>
      </c>
      <c r="F999" t="s">
        <v>33</v>
      </c>
      <c r="G999">
        <v>126</v>
      </c>
      <c r="H999" s="1">
        <f t="shared" si="15"/>
        <v>48457</v>
      </c>
      <c r="I999" t="s">
        <v>15</v>
      </c>
      <c r="J999" s="1">
        <v>44617</v>
      </c>
      <c r="K999" t="s">
        <v>56</v>
      </c>
      <c r="L999" s="3">
        <v>3.4300000000000004E-2</v>
      </c>
      <c r="M999" t="s">
        <v>29</v>
      </c>
      <c r="N999" t="s">
        <v>30</v>
      </c>
      <c r="O999">
        <v>0</v>
      </c>
      <c r="P999" s="1">
        <v>46022</v>
      </c>
      <c r="R999" s="7"/>
      <c r="S999" s="7"/>
    </row>
    <row r="1000" spans="1:19" x14ac:dyDescent="0.3">
      <c r="A1000" t="s">
        <v>1048</v>
      </c>
      <c r="B1000" t="s">
        <v>20</v>
      </c>
      <c r="C1000" t="s">
        <v>21</v>
      </c>
      <c r="D1000" s="5">
        <v>3839456</v>
      </c>
      <c r="E1000">
        <v>2175841.15</v>
      </c>
      <c r="F1000" t="s">
        <v>14</v>
      </c>
      <c r="G1000">
        <v>348</v>
      </c>
      <c r="H1000" s="1">
        <f t="shared" si="15"/>
        <v>53358</v>
      </c>
      <c r="I1000" t="s">
        <v>15</v>
      </c>
      <c r="J1000" s="1">
        <v>42737</v>
      </c>
      <c r="K1000" t="s">
        <v>16</v>
      </c>
      <c r="L1000" s="3">
        <v>9.2699999999999991E-2</v>
      </c>
      <c r="M1000" t="s">
        <v>29</v>
      </c>
      <c r="N1000" t="s">
        <v>30</v>
      </c>
      <c r="O1000">
        <v>0</v>
      </c>
      <c r="P1000" s="1">
        <v>46022</v>
      </c>
      <c r="R1000" s="7"/>
      <c r="S1000" s="7"/>
    </row>
    <row r="1001" spans="1:19" x14ac:dyDescent="0.3">
      <c r="A1001" t="s">
        <v>1049</v>
      </c>
      <c r="B1001" t="s">
        <v>24</v>
      </c>
      <c r="C1001" t="s">
        <v>25</v>
      </c>
      <c r="D1001" s="5">
        <v>100010</v>
      </c>
      <c r="E1001">
        <v>32129.63</v>
      </c>
      <c r="F1001" t="s">
        <v>14</v>
      </c>
      <c r="G1001">
        <v>60</v>
      </c>
      <c r="H1001" s="1">
        <f t="shared" si="15"/>
        <v>46203</v>
      </c>
      <c r="I1001" t="s">
        <v>15</v>
      </c>
      <c r="J1001" s="1">
        <v>44351</v>
      </c>
      <c r="K1001" t="s">
        <v>35</v>
      </c>
      <c r="L1001" s="3">
        <v>3.3500000000000002E-2</v>
      </c>
      <c r="M1001" t="s">
        <v>17</v>
      </c>
      <c r="N1001" t="s">
        <v>26</v>
      </c>
      <c r="O1001">
        <v>138137.07</v>
      </c>
      <c r="P1001" s="1">
        <v>46022</v>
      </c>
      <c r="R1001" s="7"/>
      <c r="S1001" s="7"/>
    </row>
    <row r="1002" spans="1:19" x14ac:dyDescent="0.3">
      <c r="A1002" t="s">
        <v>1050</v>
      </c>
      <c r="B1002" t="s">
        <v>24</v>
      </c>
      <c r="C1002" t="s">
        <v>32</v>
      </c>
      <c r="D1002" s="5">
        <v>21412</v>
      </c>
      <c r="E1002">
        <v>9042.7199999999993</v>
      </c>
      <c r="F1002" t="s">
        <v>33</v>
      </c>
      <c r="G1002">
        <v>312</v>
      </c>
      <c r="H1002" s="1">
        <f t="shared" si="15"/>
        <v>52840</v>
      </c>
      <c r="I1002" t="s">
        <v>15</v>
      </c>
      <c r="J1002" s="1">
        <v>43342</v>
      </c>
      <c r="K1002" t="s">
        <v>35</v>
      </c>
      <c r="L1002" s="3">
        <v>4.0199999999999993E-2</v>
      </c>
      <c r="M1002" t="s">
        <v>29</v>
      </c>
      <c r="N1002" t="s">
        <v>30</v>
      </c>
      <c r="O1002">
        <v>0</v>
      </c>
      <c r="P1002" s="1">
        <v>46022</v>
      </c>
      <c r="R1002" s="7"/>
      <c r="S1002" s="7"/>
    </row>
    <row r="1003" spans="1:19" x14ac:dyDescent="0.3">
      <c r="A1003" t="s">
        <v>1051</v>
      </c>
      <c r="B1003" t="s">
        <v>24</v>
      </c>
      <c r="C1003" t="s">
        <v>28</v>
      </c>
      <c r="D1003" s="5">
        <v>26603</v>
      </c>
      <c r="E1003">
        <v>26351.73</v>
      </c>
      <c r="F1003" t="s">
        <v>48</v>
      </c>
      <c r="G1003">
        <v>270</v>
      </c>
      <c r="H1003" s="1">
        <f t="shared" si="15"/>
        <v>53205</v>
      </c>
      <c r="I1003" t="s">
        <v>15</v>
      </c>
      <c r="J1003" s="1">
        <v>44973</v>
      </c>
      <c r="K1003" t="s">
        <v>35</v>
      </c>
      <c r="L1003" s="3">
        <v>6.9500000000000006E-2</v>
      </c>
      <c r="M1003" t="s">
        <v>29</v>
      </c>
      <c r="N1003" t="s">
        <v>30</v>
      </c>
      <c r="O1003">
        <v>0</v>
      </c>
      <c r="P1003" s="1">
        <v>46022</v>
      </c>
      <c r="R1003" s="7"/>
      <c r="S1003" s="7"/>
    </row>
    <row r="1004" spans="1:19" x14ac:dyDescent="0.3">
      <c r="A1004" t="s">
        <v>1052</v>
      </c>
      <c r="B1004" t="s">
        <v>20</v>
      </c>
      <c r="C1004" t="s">
        <v>47</v>
      </c>
      <c r="D1004" s="5">
        <v>320440</v>
      </c>
      <c r="E1004" s="4">
        <v>229397.76000000001</v>
      </c>
      <c r="F1004" t="s">
        <v>33</v>
      </c>
      <c r="G1004">
        <v>126</v>
      </c>
      <c r="H1004" s="1">
        <f t="shared" si="15"/>
        <v>46783</v>
      </c>
      <c r="I1004" t="s">
        <v>15</v>
      </c>
      <c r="J1004" s="1">
        <v>42923</v>
      </c>
      <c r="K1004" t="s">
        <v>101</v>
      </c>
      <c r="L1004" s="3">
        <v>0.14529999999999998</v>
      </c>
      <c r="M1004" t="s">
        <v>29</v>
      </c>
      <c r="N1004" t="s">
        <v>30</v>
      </c>
      <c r="O1004">
        <v>0</v>
      </c>
      <c r="P1004" s="1">
        <v>46022</v>
      </c>
      <c r="R1004" s="7"/>
      <c r="S1004" s="7"/>
    </row>
    <row r="1005" spans="1:19" x14ac:dyDescent="0.3">
      <c r="A1005" t="s">
        <v>1053</v>
      </c>
      <c r="B1005" t="s">
        <v>24</v>
      </c>
      <c r="C1005" t="s">
        <v>28</v>
      </c>
      <c r="D1005" s="5">
        <v>48681</v>
      </c>
      <c r="E1005">
        <v>46445.53</v>
      </c>
      <c r="F1005" t="s">
        <v>33</v>
      </c>
      <c r="G1005">
        <v>174</v>
      </c>
      <c r="H1005" s="1">
        <f t="shared" si="15"/>
        <v>50040</v>
      </c>
      <c r="I1005" t="s">
        <v>15</v>
      </c>
      <c r="J1005" s="1">
        <v>44720</v>
      </c>
      <c r="K1005" t="s">
        <v>39</v>
      </c>
      <c r="L1005" s="3">
        <v>7.5399999999999995E-2</v>
      </c>
      <c r="M1005" t="s">
        <v>29</v>
      </c>
      <c r="N1005" t="s">
        <v>30</v>
      </c>
      <c r="O1005">
        <v>0</v>
      </c>
      <c r="P1005" s="1">
        <v>46022</v>
      </c>
      <c r="R1005" s="7"/>
      <c r="S1005" s="7"/>
    </row>
    <row r="1006" spans="1:19" x14ac:dyDescent="0.3">
      <c r="A1006" t="s">
        <v>1054</v>
      </c>
      <c r="B1006" t="s">
        <v>24</v>
      </c>
      <c r="C1006" t="s">
        <v>41</v>
      </c>
      <c r="D1006" s="5">
        <v>30351</v>
      </c>
      <c r="E1006">
        <v>6929.22</v>
      </c>
      <c r="F1006" t="s">
        <v>14</v>
      </c>
      <c r="G1006">
        <v>120</v>
      </c>
      <c r="H1006" s="1">
        <f t="shared" si="15"/>
        <v>48669</v>
      </c>
      <c r="I1006" t="s">
        <v>15</v>
      </c>
      <c r="J1006" s="1">
        <v>45009</v>
      </c>
      <c r="K1006" t="s">
        <v>39</v>
      </c>
      <c r="L1006" s="3">
        <v>9.6500000000000002E-2</v>
      </c>
      <c r="M1006" t="s">
        <v>17</v>
      </c>
      <c r="N1006" t="s">
        <v>42</v>
      </c>
      <c r="O1006">
        <v>31734.33</v>
      </c>
      <c r="P1006" s="1">
        <v>46022</v>
      </c>
      <c r="R1006" s="7"/>
      <c r="S1006" s="7"/>
    </row>
    <row r="1007" spans="1:19" x14ac:dyDescent="0.3">
      <c r="A1007" t="s">
        <v>1055</v>
      </c>
      <c r="B1007" t="s">
        <v>24</v>
      </c>
      <c r="C1007" t="s">
        <v>25</v>
      </c>
      <c r="D1007" s="5">
        <v>373779</v>
      </c>
      <c r="E1007">
        <v>165929.97</v>
      </c>
      <c r="F1007" t="s">
        <v>14</v>
      </c>
      <c r="G1007">
        <v>228</v>
      </c>
      <c r="H1007" s="1">
        <f t="shared" si="15"/>
        <v>50191</v>
      </c>
      <c r="I1007" t="s">
        <v>15</v>
      </c>
      <c r="J1007" s="1">
        <v>43224</v>
      </c>
      <c r="K1007" t="s">
        <v>22</v>
      </c>
      <c r="L1007" s="3">
        <v>5.7300000000000004E-2</v>
      </c>
      <c r="M1007" t="s">
        <v>17</v>
      </c>
      <c r="N1007" t="s">
        <v>26</v>
      </c>
      <c r="O1007">
        <v>454804.88</v>
      </c>
      <c r="P1007" s="1">
        <v>46022</v>
      </c>
      <c r="R1007" s="7"/>
      <c r="S1007" s="7"/>
    </row>
    <row r="1008" spans="1:19" x14ac:dyDescent="0.3">
      <c r="A1008" t="s">
        <v>1056</v>
      </c>
      <c r="B1008" t="s">
        <v>37</v>
      </c>
      <c r="C1008" t="s">
        <v>144</v>
      </c>
      <c r="D1008" s="5">
        <v>158931831</v>
      </c>
      <c r="E1008">
        <v>95241270.189999998</v>
      </c>
      <c r="F1008" t="s">
        <v>14</v>
      </c>
      <c r="G1008">
        <v>120</v>
      </c>
      <c r="H1008" s="1">
        <f t="shared" si="15"/>
        <v>47907</v>
      </c>
      <c r="I1008" t="s">
        <v>15</v>
      </c>
      <c r="J1008" s="1">
        <v>44236</v>
      </c>
      <c r="K1008" t="s">
        <v>22</v>
      </c>
      <c r="L1008" s="3">
        <v>3.9100000000000003E-2</v>
      </c>
      <c r="M1008" t="s">
        <v>29</v>
      </c>
      <c r="N1008" t="s">
        <v>30</v>
      </c>
      <c r="O1008">
        <v>0</v>
      </c>
      <c r="P1008" s="1">
        <v>46022</v>
      </c>
      <c r="R1008" s="7"/>
      <c r="S1008" s="7"/>
    </row>
    <row r="1009" spans="1:19" x14ac:dyDescent="0.3">
      <c r="A1009" t="s">
        <v>1057</v>
      </c>
      <c r="B1009" t="s">
        <v>24</v>
      </c>
      <c r="C1009" t="s">
        <v>28</v>
      </c>
      <c r="D1009" s="5">
        <v>12290</v>
      </c>
      <c r="E1009">
        <v>2078.09</v>
      </c>
      <c r="F1009" t="s">
        <v>14</v>
      </c>
      <c r="G1009">
        <v>300</v>
      </c>
      <c r="H1009" s="1">
        <f t="shared" si="15"/>
        <v>52748</v>
      </c>
      <c r="I1009" t="s">
        <v>15</v>
      </c>
      <c r="J1009" s="1">
        <v>43614</v>
      </c>
      <c r="K1009" t="s">
        <v>35</v>
      </c>
      <c r="L1009" s="3">
        <v>3.6000000000000004E-2</v>
      </c>
      <c r="M1009" t="s">
        <v>29</v>
      </c>
      <c r="N1009" t="s">
        <v>30</v>
      </c>
      <c r="O1009">
        <v>0</v>
      </c>
      <c r="P1009" s="1">
        <v>46022</v>
      </c>
      <c r="R1009" s="7"/>
      <c r="S1009" s="7"/>
    </row>
    <row r="1010" spans="1:19" x14ac:dyDescent="0.3">
      <c r="A1010" t="s">
        <v>1058</v>
      </c>
      <c r="B1010" t="s">
        <v>24</v>
      </c>
      <c r="C1010" t="s">
        <v>28</v>
      </c>
      <c r="D1010" s="5">
        <v>1072</v>
      </c>
      <c r="E1010">
        <v>111.26</v>
      </c>
      <c r="F1010" t="s">
        <v>48</v>
      </c>
      <c r="G1010">
        <v>150</v>
      </c>
      <c r="H1010" s="1">
        <f t="shared" si="15"/>
        <v>45657</v>
      </c>
      <c r="I1010" t="s">
        <v>15</v>
      </c>
      <c r="J1010" s="1">
        <v>41064</v>
      </c>
      <c r="K1010" t="s">
        <v>22</v>
      </c>
      <c r="L1010" s="3">
        <v>5.9000000000000004E-2</v>
      </c>
      <c r="M1010" t="s">
        <v>29</v>
      </c>
      <c r="N1010" t="s">
        <v>30</v>
      </c>
      <c r="O1010">
        <v>0</v>
      </c>
      <c r="P1010" s="1">
        <v>46022</v>
      </c>
      <c r="R1010" s="7"/>
      <c r="S1010" s="7"/>
    </row>
    <row r="1011" spans="1:19" x14ac:dyDescent="0.3">
      <c r="A1011" t="s">
        <v>1059</v>
      </c>
      <c r="B1011" t="s">
        <v>24</v>
      </c>
      <c r="C1011" t="s">
        <v>28</v>
      </c>
      <c r="D1011" s="5">
        <v>36738</v>
      </c>
      <c r="E1011">
        <v>25841.1</v>
      </c>
      <c r="F1011" t="s">
        <v>14</v>
      </c>
      <c r="G1011">
        <v>60</v>
      </c>
      <c r="H1011" s="1">
        <f t="shared" si="15"/>
        <v>46081</v>
      </c>
      <c r="I1011" t="s">
        <v>15</v>
      </c>
      <c r="J1011" s="1">
        <v>44235</v>
      </c>
      <c r="K1011" t="s">
        <v>22</v>
      </c>
      <c r="L1011" s="3">
        <v>4.3899999999999995E-2</v>
      </c>
      <c r="M1011" t="s">
        <v>29</v>
      </c>
      <c r="N1011" t="s">
        <v>30</v>
      </c>
      <c r="O1011">
        <v>0</v>
      </c>
      <c r="P1011" s="1">
        <v>46022</v>
      </c>
      <c r="R1011" s="7"/>
      <c r="S1011" s="7"/>
    </row>
    <row r="1012" spans="1:19" x14ac:dyDescent="0.3">
      <c r="A1012" t="s">
        <v>1060</v>
      </c>
      <c r="B1012" t="s">
        <v>24</v>
      </c>
      <c r="C1012" t="s">
        <v>25</v>
      </c>
      <c r="D1012" s="5">
        <v>970161</v>
      </c>
      <c r="E1012">
        <v>657417.5</v>
      </c>
      <c r="F1012" t="s">
        <v>14</v>
      </c>
      <c r="G1012">
        <v>342</v>
      </c>
      <c r="H1012" s="1">
        <f t="shared" si="15"/>
        <v>53996</v>
      </c>
      <c r="I1012" t="s">
        <v>15</v>
      </c>
      <c r="J1012" s="1">
        <v>43578</v>
      </c>
      <c r="K1012" t="s">
        <v>39</v>
      </c>
      <c r="L1012" s="3">
        <v>6.93E-2</v>
      </c>
      <c r="M1012" t="s">
        <v>17</v>
      </c>
      <c r="N1012" t="s">
        <v>26</v>
      </c>
      <c r="O1012">
        <v>1196357.94</v>
      </c>
      <c r="P1012" s="1">
        <v>46022</v>
      </c>
      <c r="R1012" s="7"/>
      <c r="S1012" s="7"/>
    </row>
    <row r="1013" spans="1:19" x14ac:dyDescent="0.3">
      <c r="A1013" t="s">
        <v>1061</v>
      </c>
      <c r="B1013" t="s">
        <v>24</v>
      </c>
      <c r="C1013" t="s">
        <v>25</v>
      </c>
      <c r="D1013" s="5">
        <v>301864</v>
      </c>
      <c r="E1013">
        <v>141788.57999999999</v>
      </c>
      <c r="F1013" t="s">
        <v>14</v>
      </c>
      <c r="G1013">
        <v>192</v>
      </c>
      <c r="H1013" s="1">
        <f t="shared" si="15"/>
        <v>47087</v>
      </c>
      <c r="I1013" t="s">
        <v>15</v>
      </c>
      <c r="J1013" s="1">
        <v>41226</v>
      </c>
      <c r="K1013" t="s">
        <v>22</v>
      </c>
      <c r="L1013" s="3">
        <v>3.8699999999999998E-2</v>
      </c>
      <c r="M1013" t="s">
        <v>17</v>
      </c>
      <c r="N1013" t="s">
        <v>26</v>
      </c>
      <c r="O1013">
        <v>394577.25</v>
      </c>
      <c r="P1013" s="1">
        <v>46022</v>
      </c>
      <c r="R1013" s="7"/>
      <c r="S1013" s="7"/>
    </row>
    <row r="1014" spans="1:19" x14ac:dyDescent="0.3">
      <c r="A1014" t="s">
        <v>1062</v>
      </c>
      <c r="B1014" t="s">
        <v>24</v>
      </c>
      <c r="C1014" t="s">
        <v>41</v>
      </c>
      <c r="D1014" s="5">
        <v>69674</v>
      </c>
      <c r="E1014">
        <v>37671.449999999997</v>
      </c>
      <c r="F1014" t="s">
        <v>14</v>
      </c>
      <c r="G1014">
        <v>156</v>
      </c>
      <c r="H1014" s="1">
        <f t="shared" si="15"/>
        <v>48304</v>
      </c>
      <c r="I1014" t="s">
        <v>15</v>
      </c>
      <c r="J1014" s="1">
        <v>43525</v>
      </c>
      <c r="K1014" t="s">
        <v>16</v>
      </c>
      <c r="L1014" s="3">
        <v>9.2899999999999996E-2</v>
      </c>
      <c r="M1014" t="s">
        <v>17</v>
      </c>
      <c r="N1014" t="s">
        <v>42</v>
      </c>
      <c r="O1014">
        <v>82170.880000000005</v>
      </c>
      <c r="P1014" s="1">
        <v>46022</v>
      </c>
      <c r="R1014" s="7"/>
      <c r="S1014" s="7"/>
    </row>
    <row r="1015" spans="1:19" x14ac:dyDescent="0.3">
      <c r="A1015" t="s">
        <v>1063</v>
      </c>
      <c r="B1015" t="s">
        <v>20</v>
      </c>
      <c r="C1015" t="s">
        <v>51</v>
      </c>
      <c r="D1015" s="5">
        <v>3722387</v>
      </c>
      <c r="E1015">
        <v>1764034.28</v>
      </c>
      <c r="F1015" t="s">
        <v>33</v>
      </c>
      <c r="G1015">
        <v>36</v>
      </c>
      <c r="H1015" s="1">
        <f t="shared" si="15"/>
        <v>45657</v>
      </c>
      <c r="I1015" t="s">
        <v>15</v>
      </c>
      <c r="J1015" s="1">
        <v>44561</v>
      </c>
      <c r="K1015" t="s">
        <v>35</v>
      </c>
      <c r="L1015" s="3">
        <v>4.0300000000000002E-2</v>
      </c>
      <c r="M1015" t="s">
        <v>17</v>
      </c>
      <c r="N1015" t="s">
        <v>26</v>
      </c>
      <c r="O1015">
        <v>4484440.95</v>
      </c>
      <c r="P1015" s="1">
        <v>46022</v>
      </c>
      <c r="R1015" s="7"/>
      <c r="S1015" s="7"/>
    </row>
    <row r="1016" spans="1:19" x14ac:dyDescent="0.3">
      <c r="A1016" t="s">
        <v>1064</v>
      </c>
      <c r="B1016" t="s">
        <v>12</v>
      </c>
      <c r="C1016" t="s">
        <v>61</v>
      </c>
      <c r="D1016" s="5">
        <v>42572844</v>
      </c>
      <c r="E1016" s="4">
        <v>5177051.08</v>
      </c>
      <c r="F1016" t="s">
        <v>33</v>
      </c>
      <c r="G1016">
        <v>246</v>
      </c>
      <c r="H1016" s="1">
        <f t="shared" si="15"/>
        <v>53021</v>
      </c>
      <c r="I1016" t="s">
        <v>15</v>
      </c>
      <c r="J1016" s="1">
        <v>45506</v>
      </c>
      <c r="K1016" t="s">
        <v>22</v>
      </c>
      <c r="L1016" s="3">
        <v>0.1638</v>
      </c>
      <c r="M1016" t="s">
        <v>29</v>
      </c>
      <c r="N1016" t="s">
        <v>30</v>
      </c>
      <c r="O1016">
        <v>0</v>
      </c>
      <c r="P1016" s="1">
        <v>46022</v>
      </c>
      <c r="R1016" s="7"/>
      <c r="S1016" s="7"/>
    </row>
    <row r="1017" spans="1:19" x14ac:dyDescent="0.3">
      <c r="A1017" t="s">
        <v>1065</v>
      </c>
      <c r="B1017" t="s">
        <v>24</v>
      </c>
      <c r="C1017" t="s">
        <v>41</v>
      </c>
      <c r="D1017" s="5">
        <v>48037</v>
      </c>
      <c r="E1017">
        <v>19302.77</v>
      </c>
      <c r="F1017" t="s">
        <v>14</v>
      </c>
      <c r="G1017">
        <v>342</v>
      </c>
      <c r="H1017" s="1">
        <f t="shared" si="15"/>
        <v>53266</v>
      </c>
      <c r="I1017" t="s">
        <v>15</v>
      </c>
      <c r="J1017" s="1">
        <v>42832</v>
      </c>
      <c r="K1017" t="s">
        <v>81</v>
      </c>
      <c r="L1017" s="3">
        <v>2.64E-2</v>
      </c>
      <c r="M1017" t="s">
        <v>17</v>
      </c>
      <c r="N1017" t="s">
        <v>42</v>
      </c>
      <c r="O1017">
        <v>51511.35</v>
      </c>
      <c r="P1017" s="1">
        <v>46022</v>
      </c>
      <c r="R1017" s="7"/>
      <c r="S1017" s="7"/>
    </row>
    <row r="1018" spans="1:19" x14ac:dyDescent="0.3">
      <c r="A1018" t="s">
        <v>1066</v>
      </c>
      <c r="B1018" t="s">
        <v>20</v>
      </c>
      <c r="C1018" t="s">
        <v>21</v>
      </c>
      <c r="D1018" s="5">
        <v>1549508</v>
      </c>
      <c r="E1018">
        <v>401902.13</v>
      </c>
      <c r="F1018" t="s">
        <v>33</v>
      </c>
      <c r="G1018">
        <v>60</v>
      </c>
      <c r="H1018" s="1">
        <f t="shared" si="15"/>
        <v>45382</v>
      </c>
      <c r="I1018" t="s">
        <v>15</v>
      </c>
      <c r="J1018" s="1">
        <v>43544</v>
      </c>
      <c r="K1018" t="s">
        <v>22</v>
      </c>
      <c r="L1018" s="3">
        <v>5.1200000000000002E-2</v>
      </c>
      <c r="M1018" t="s">
        <v>17</v>
      </c>
      <c r="N1018" t="s">
        <v>18</v>
      </c>
      <c r="O1018">
        <v>2204741.98</v>
      </c>
      <c r="P1018" s="1">
        <v>46022</v>
      </c>
      <c r="R1018" s="7"/>
      <c r="S1018" s="7"/>
    </row>
    <row r="1019" spans="1:19" x14ac:dyDescent="0.3">
      <c r="A1019" t="s">
        <v>1067</v>
      </c>
      <c r="B1019" t="s">
        <v>24</v>
      </c>
      <c r="C1019" t="s">
        <v>41</v>
      </c>
      <c r="D1019" s="5">
        <v>39277</v>
      </c>
      <c r="E1019">
        <v>7406.84</v>
      </c>
      <c r="F1019" t="s">
        <v>14</v>
      </c>
      <c r="G1019">
        <v>198</v>
      </c>
      <c r="H1019" s="1">
        <f t="shared" si="15"/>
        <v>46691</v>
      </c>
      <c r="I1019" t="s">
        <v>15</v>
      </c>
      <c r="J1019" s="1">
        <v>40647</v>
      </c>
      <c r="K1019" t="s">
        <v>22</v>
      </c>
      <c r="L1019" s="3">
        <v>5.9900000000000002E-2</v>
      </c>
      <c r="M1019" t="s">
        <v>17</v>
      </c>
      <c r="N1019" t="s">
        <v>42</v>
      </c>
      <c r="O1019">
        <v>40060.18</v>
      </c>
      <c r="P1019" s="1">
        <v>46022</v>
      </c>
      <c r="R1019" s="7"/>
      <c r="S1019" s="7"/>
    </row>
    <row r="1020" spans="1:19" x14ac:dyDescent="0.3">
      <c r="A1020" t="s">
        <v>1068</v>
      </c>
      <c r="B1020" t="s">
        <v>24</v>
      </c>
      <c r="C1020" t="s">
        <v>28</v>
      </c>
      <c r="D1020" s="5">
        <v>35918</v>
      </c>
      <c r="E1020">
        <v>34519.370000000003</v>
      </c>
      <c r="F1020" t="s">
        <v>33</v>
      </c>
      <c r="G1020">
        <v>60</v>
      </c>
      <c r="H1020" s="1">
        <f t="shared" si="15"/>
        <v>46022</v>
      </c>
      <c r="I1020" t="s">
        <v>15</v>
      </c>
      <c r="J1020" s="1">
        <v>44180</v>
      </c>
      <c r="K1020" t="s">
        <v>22</v>
      </c>
      <c r="L1020" s="3">
        <v>4.5999999999999999E-2</v>
      </c>
      <c r="M1020" t="s">
        <v>29</v>
      </c>
      <c r="N1020" t="s">
        <v>30</v>
      </c>
      <c r="O1020">
        <v>0</v>
      </c>
      <c r="P1020" s="1">
        <v>46022</v>
      </c>
      <c r="R1020" s="7"/>
      <c r="S1020" s="7"/>
    </row>
    <row r="1021" spans="1:19" x14ac:dyDescent="0.3">
      <c r="A1021" t="s">
        <v>1069</v>
      </c>
      <c r="B1021" t="s">
        <v>24</v>
      </c>
      <c r="C1021" t="s">
        <v>32</v>
      </c>
      <c r="D1021" s="5">
        <v>41022</v>
      </c>
      <c r="E1021">
        <v>26230.560000000001</v>
      </c>
      <c r="F1021" t="s">
        <v>33</v>
      </c>
      <c r="G1021">
        <v>306</v>
      </c>
      <c r="H1021" s="1">
        <f t="shared" si="15"/>
        <v>51135</v>
      </c>
      <c r="I1021" t="s">
        <v>15</v>
      </c>
      <c r="J1021" s="1">
        <v>41814</v>
      </c>
      <c r="K1021" t="s">
        <v>22</v>
      </c>
      <c r="L1021" s="3">
        <v>5.3200000000000004E-2</v>
      </c>
      <c r="M1021" t="s">
        <v>29</v>
      </c>
      <c r="N1021" t="s">
        <v>30</v>
      </c>
      <c r="O1021">
        <v>0</v>
      </c>
      <c r="P1021" s="1">
        <v>46022</v>
      </c>
      <c r="R1021" s="7"/>
      <c r="S1021" s="7"/>
    </row>
    <row r="1022" spans="1:19" x14ac:dyDescent="0.3">
      <c r="A1022" t="s">
        <v>1070</v>
      </c>
      <c r="B1022" t="s">
        <v>12</v>
      </c>
      <c r="C1022" t="s">
        <v>61</v>
      </c>
      <c r="D1022" s="5">
        <v>9899084</v>
      </c>
      <c r="E1022">
        <v>7481635.5099999998</v>
      </c>
      <c r="F1022" t="s">
        <v>48</v>
      </c>
      <c r="G1022">
        <v>60</v>
      </c>
      <c r="H1022" s="1">
        <f t="shared" si="15"/>
        <v>45412</v>
      </c>
      <c r="I1022" t="s">
        <v>15</v>
      </c>
      <c r="J1022" s="1">
        <v>43568</v>
      </c>
      <c r="K1022" t="s">
        <v>22</v>
      </c>
      <c r="L1022" s="3">
        <v>4.2000000000000003E-2</v>
      </c>
      <c r="M1022" t="s">
        <v>29</v>
      </c>
      <c r="N1022" t="s">
        <v>30</v>
      </c>
      <c r="O1022">
        <v>0</v>
      </c>
      <c r="P1022" s="1">
        <v>46022</v>
      </c>
      <c r="R1022" s="7"/>
      <c r="S1022" s="7"/>
    </row>
    <row r="1023" spans="1:19" x14ac:dyDescent="0.3">
      <c r="A1023" t="s">
        <v>1071</v>
      </c>
      <c r="B1023" t="s">
        <v>24</v>
      </c>
      <c r="C1023" t="s">
        <v>25</v>
      </c>
      <c r="D1023" s="5">
        <v>433847</v>
      </c>
      <c r="E1023">
        <v>166522.32</v>
      </c>
      <c r="F1023" t="s">
        <v>14</v>
      </c>
      <c r="G1023">
        <v>78</v>
      </c>
      <c r="H1023" s="1">
        <f t="shared" si="15"/>
        <v>45869</v>
      </c>
      <c r="I1023" t="s">
        <v>15</v>
      </c>
      <c r="J1023" s="1">
        <v>43475</v>
      </c>
      <c r="K1023" t="s">
        <v>22</v>
      </c>
      <c r="L1023" s="3">
        <v>4.4000000000000004E-2</v>
      </c>
      <c r="M1023" t="s">
        <v>17</v>
      </c>
      <c r="N1023" t="s">
        <v>26</v>
      </c>
      <c r="O1023">
        <v>559963.47</v>
      </c>
      <c r="P1023" s="1">
        <v>46022</v>
      </c>
      <c r="R1023" s="7"/>
      <c r="S1023" s="7"/>
    </row>
    <row r="1024" spans="1:19" x14ac:dyDescent="0.3">
      <c r="A1024" t="s">
        <v>1072</v>
      </c>
      <c r="B1024" t="s">
        <v>12</v>
      </c>
      <c r="C1024" t="s">
        <v>26</v>
      </c>
      <c r="D1024" s="5">
        <v>45195070</v>
      </c>
      <c r="E1024">
        <v>20510987.670000002</v>
      </c>
      <c r="F1024" t="s">
        <v>48</v>
      </c>
      <c r="G1024">
        <v>114</v>
      </c>
      <c r="H1024" s="1">
        <f t="shared" si="15"/>
        <v>49064</v>
      </c>
      <c r="I1024" t="s">
        <v>15</v>
      </c>
      <c r="J1024" s="1">
        <v>45589</v>
      </c>
      <c r="K1024" t="s">
        <v>39</v>
      </c>
      <c r="L1024" s="3">
        <v>8.5600000000000009E-2</v>
      </c>
      <c r="M1024" t="s">
        <v>17</v>
      </c>
      <c r="N1024" t="s">
        <v>42</v>
      </c>
      <c r="O1024">
        <v>86648965.569999993</v>
      </c>
      <c r="P1024" s="1">
        <v>46022</v>
      </c>
      <c r="R1024" s="7"/>
      <c r="S1024" s="7"/>
    </row>
    <row r="1025" spans="1:19" x14ac:dyDescent="0.3">
      <c r="A1025" t="s">
        <v>1073</v>
      </c>
      <c r="B1025" t="s">
        <v>24</v>
      </c>
      <c r="C1025" t="s">
        <v>28</v>
      </c>
      <c r="D1025" s="5">
        <v>40528</v>
      </c>
      <c r="E1025">
        <v>12694.64</v>
      </c>
      <c r="F1025" t="s">
        <v>14</v>
      </c>
      <c r="G1025">
        <v>72</v>
      </c>
      <c r="H1025" s="1">
        <f t="shared" si="15"/>
        <v>45351</v>
      </c>
      <c r="I1025" t="s">
        <v>15</v>
      </c>
      <c r="J1025" s="1">
        <v>43132</v>
      </c>
      <c r="K1025" t="s">
        <v>39</v>
      </c>
      <c r="L1025" s="3">
        <v>5.8499999999999996E-2</v>
      </c>
      <c r="M1025" t="s">
        <v>29</v>
      </c>
      <c r="N1025" t="s">
        <v>30</v>
      </c>
      <c r="O1025">
        <v>0</v>
      </c>
      <c r="P1025" s="1">
        <v>46022</v>
      </c>
      <c r="R1025" s="7"/>
      <c r="S1025" s="7"/>
    </row>
    <row r="1026" spans="1:19" x14ac:dyDescent="0.3">
      <c r="A1026" t="s">
        <v>1074</v>
      </c>
      <c r="B1026" t="s">
        <v>12</v>
      </c>
      <c r="C1026" t="s">
        <v>61</v>
      </c>
      <c r="D1026" s="5">
        <v>49258062</v>
      </c>
      <c r="E1026">
        <v>9224513.0800000001</v>
      </c>
      <c r="F1026" t="s">
        <v>14</v>
      </c>
      <c r="G1026">
        <v>288</v>
      </c>
      <c r="H1026" s="1">
        <f t="shared" ref="H1026:H1089" si="16">EOMONTH(J1026,G1026)</f>
        <v>52901</v>
      </c>
      <c r="I1026" t="s">
        <v>15</v>
      </c>
      <c r="J1026" s="1">
        <v>44117</v>
      </c>
      <c r="K1026" t="s">
        <v>39</v>
      </c>
      <c r="L1026" s="3">
        <v>5.1799999999999999E-2</v>
      </c>
      <c r="M1026" t="s">
        <v>29</v>
      </c>
      <c r="N1026" t="s">
        <v>30</v>
      </c>
      <c r="O1026">
        <v>0</v>
      </c>
      <c r="P1026" s="1">
        <v>46022</v>
      </c>
      <c r="R1026" s="7"/>
      <c r="S1026" s="7"/>
    </row>
    <row r="1027" spans="1:19" x14ac:dyDescent="0.3">
      <c r="A1027" t="s">
        <v>1075</v>
      </c>
      <c r="B1027" t="s">
        <v>20</v>
      </c>
      <c r="C1027" t="s">
        <v>21</v>
      </c>
      <c r="D1027" s="5">
        <v>3783529</v>
      </c>
      <c r="E1027">
        <v>987987.12</v>
      </c>
      <c r="F1027" t="s">
        <v>14</v>
      </c>
      <c r="G1027">
        <v>150</v>
      </c>
      <c r="H1027" s="1">
        <f t="shared" si="16"/>
        <v>46965</v>
      </c>
      <c r="I1027" t="s">
        <v>15</v>
      </c>
      <c r="J1027" s="1">
        <v>42387</v>
      </c>
      <c r="K1027" t="s">
        <v>35</v>
      </c>
      <c r="L1027" s="3">
        <v>3.1400000000000004E-2</v>
      </c>
      <c r="M1027" t="s">
        <v>17</v>
      </c>
      <c r="N1027" t="s">
        <v>18</v>
      </c>
      <c r="O1027">
        <v>5857787.7300000004</v>
      </c>
      <c r="P1027" s="1">
        <v>46022</v>
      </c>
      <c r="R1027" s="7"/>
      <c r="S1027" s="7"/>
    </row>
    <row r="1028" spans="1:19" x14ac:dyDescent="0.3">
      <c r="A1028" t="s">
        <v>1076</v>
      </c>
      <c r="B1028" t="s">
        <v>24</v>
      </c>
      <c r="C1028" t="s">
        <v>28</v>
      </c>
      <c r="D1028" s="5">
        <v>20267</v>
      </c>
      <c r="E1028">
        <v>16573.240000000002</v>
      </c>
      <c r="F1028" t="s">
        <v>48</v>
      </c>
      <c r="G1028">
        <v>342</v>
      </c>
      <c r="H1028" s="1">
        <f t="shared" si="16"/>
        <v>52748</v>
      </c>
      <c r="I1028" t="s">
        <v>15</v>
      </c>
      <c r="J1028" s="1">
        <v>42328</v>
      </c>
      <c r="K1028" t="s">
        <v>39</v>
      </c>
      <c r="L1028" s="3">
        <v>6.8199999999999997E-2</v>
      </c>
      <c r="M1028" t="s">
        <v>29</v>
      </c>
      <c r="N1028" t="s">
        <v>30</v>
      </c>
      <c r="O1028">
        <v>0</v>
      </c>
      <c r="P1028" s="1">
        <v>46022</v>
      </c>
      <c r="R1028" s="7"/>
      <c r="S1028" s="7"/>
    </row>
    <row r="1029" spans="1:19" x14ac:dyDescent="0.3">
      <c r="A1029" t="s">
        <v>1077</v>
      </c>
      <c r="B1029" t="s">
        <v>24</v>
      </c>
      <c r="C1029" t="s">
        <v>41</v>
      </c>
      <c r="D1029" s="5">
        <v>63157</v>
      </c>
      <c r="E1029">
        <v>44828.58</v>
      </c>
      <c r="F1029" t="s">
        <v>14</v>
      </c>
      <c r="G1029">
        <v>306</v>
      </c>
      <c r="H1029" s="1">
        <f t="shared" si="16"/>
        <v>53296</v>
      </c>
      <c r="I1029" t="s">
        <v>15</v>
      </c>
      <c r="J1029" s="1">
        <v>43957</v>
      </c>
      <c r="K1029" t="s">
        <v>22</v>
      </c>
      <c r="L1029" s="3">
        <v>3.5400000000000001E-2</v>
      </c>
      <c r="M1029" t="s">
        <v>17</v>
      </c>
      <c r="N1029" t="s">
        <v>42</v>
      </c>
      <c r="O1029">
        <v>68315.42</v>
      </c>
      <c r="P1029" s="1">
        <v>46022</v>
      </c>
      <c r="R1029" s="7"/>
      <c r="S1029" s="7"/>
    </row>
    <row r="1030" spans="1:19" x14ac:dyDescent="0.3">
      <c r="A1030" t="s">
        <v>1078</v>
      </c>
      <c r="B1030" t="s">
        <v>24</v>
      </c>
      <c r="C1030" t="s">
        <v>25</v>
      </c>
      <c r="D1030" s="5">
        <v>694913</v>
      </c>
      <c r="E1030">
        <v>411552.39</v>
      </c>
      <c r="F1030" t="s">
        <v>14</v>
      </c>
      <c r="G1030">
        <v>210</v>
      </c>
      <c r="H1030" s="1">
        <f t="shared" si="16"/>
        <v>47452</v>
      </c>
      <c r="I1030" t="s">
        <v>15</v>
      </c>
      <c r="J1030" s="1">
        <v>41051</v>
      </c>
      <c r="K1030" t="s">
        <v>22</v>
      </c>
      <c r="L1030" s="3">
        <v>3.85E-2</v>
      </c>
      <c r="M1030" t="s">
        <v>17</v>
      </c>
      <c r="N1030" t="s">
        <v>26</v>
      </c>
      <c r="O1030">
        <v>949878.35</v>
      </c>
      <c r="P1030" s="1">
        <v>46022</v>
      </c>
      <c r="R1030" s="7"/>
      <c r="S1030" s="7"/>
    </row>
    <row r="1031" spans="1:19" x14ac:dyDescent="0.3">
      <c r="A1031" t="s">
        <v>1079</v>
      </c>
      <c r="B1031" t="s">
        <v>20</v>
      </c>
      <c r="C1031" t="s">
        <v>21</v>
      </c>
      <c r="D1031" s="5">
        <v>438356</v>
      </c>
      <c r="E1031">
        <v>231268.4</v>
      </c>
      <c r="F1031" t="s">
        <v>33</v>
      </c>
      <c r="G1031">
        <v>72</v>
      </c>
      <c r="H1031" s="1">
        <f t="shared" si="16"/>
        <v>47664</v>
      </c>
      <c r="I1031" t="s">
        <v>15</v>
      </c>
      <c r="J1031" s="1">
        <v>45454</v>
      </c>
      <c r="K1031" t="s">
        <v>22</v>
      </c>
      <c r="L1031" s="3">
        <v>6.7199999999999996E-2</v>
      </c>
      <c r="M1031" t="s">
        <v>29</v>
      </c>
      <c r="N1031" t="s">
        <v>30</v>
      </c>
      <c r="O1031">
        <v>0</v>
      </c>
      <c r="P1031" s="1">
        <v>46022</v>
      </c>
      <c r="R1031" s="7"/>
      <c r="S1031" s="7"/>
    </row>
    <row r="1032" spans="1:19" x14ac:dyDescent="0.3">
      <c r="A1032" t="s">
        <v>1080</v>
      </c>
      <c r="B1032" t="s">
        <v>37</v>
      </c>
      <c r="C1032" t="s">
        <v>144</v>
      </c>
      <c r="D1032" s="5">
        <v>276803510</v>
      </c>
      <c r="E1032">
        <v>257480093.69999999</v>
      </c>
      <c r="F1032" t="s">
        <v>14</v>
      </c>
      <c r="G1032">
        <v>180</v>
      </c>
      <c r="H1032" s="1">
        <f t="shared" si="16"/>
        <v>50556</v>
      </c>
      <c r="I1032" t="s">
        <v>15</v>
      </c>
      <c r="J1032" s="1">
        <v>45047</v>
      </c>
      <c r="K1032" t="s">
        <v>22</v>
      </c>
      <c r="L1032" s="3">
        <v>7.2700000000000001E-2</v>
      </c>
      <c r="M1032" t="s">
        <v>17</v>
      </c>
      <c r="N1032" t="s">
        <v>42</v>
      </c>
      <c r="O1032">
        <v>398806695.80000001</v>
      </c>
      <c r="P1032" s="1">
        <v>46022</v>
      </c>
      <c r="R1032" s="7"/>
      <c r="S1032" s="7"/>
    </row>
    <row r="1033" spans="1:19" x14ac:dyDescent="0.3">
      <c r="A1033" t="s">
        <v>1081</v>
      </c>
      <c r="B1033" t="s">
        <v>37</v>
      </c>
      <c r="C1033" t="s">
        <v>78</v>
      </c>
      <c r="D1033" s="5">
        <v>357567206</v>
      </c>
      <c r="E1033">
        <v>59163589.439999998</v>
      </c>
      <c r="F1033" t="s">
        <v>33</v>
      </c>
      <c r="G1033">
        <v>30</v>
      </c>
      <c r="H1033" s="1">
        <f t="shared" si="16"/>
        <v>45291</v>
      </c>
      <c r="I1033" t="s">
        <v>15</v>
      </c>
      <c r="J1033" s="1">
        <v>44364</v>
      </c>
      <c r="K1033" t="s">
        <v>35</v>
      </c>
      <c r="L1033" s="3">
        <v>2.9500000000000002E-2</v>
      </c>
      <c r="M1033" t="s">
        <v>17</v>
      </c>
      <c r="N1033" t="s">
        <v>42</v>
      </c>
      <c r="O1033">
        <v>600151182.39999998</v>
      </c>
      <c r="P1033" s="1">
        <v>46022</v>
      </c>
      <c r="R1033" s="7"/>
      <c r="S1033" s="7"/>
    </row>
    <row r="1034" spans="1:19" x14ac:dyDescent="0.3">
      <c r="A1034" t="s">
        <v>1082</v>
      </c>
      <c r="B1034" t="s">
        <v>24</v>
      </c>
      <c r="C1034" t="s">
        <v>32</v>
      </c>
      <c r="D1034" s="5">
        <v>9199</v>
      </c>
      <c r="E1034">
        <v>3242.93</v>
      </c>
      <c r="F1034" t="s">
        <v>33</v>
      </c>
      <c r="G1034">
        <v>204</v>
      </c>
      <c r="H1034" s="1">
        <f t="shared" si="16"/>
        <v>51682</v>
      </c>
      <c r="I1034" t="s">
        <v>15</v>
      </c>
      <c r="J1034" s="1">
        <v>45446</v>
      </c>
      <c r="K1034" t="s">
        <v>35</v>
      </c>
      <c r="L1034" s="3">
        <v>5.6399999999999999E-2</v>
      </c>
      <c r="M1034" t="s">
        <v>29</v>
      </c>
      <c r="N1034" t="s">
        <v>30</v>
      </c>
      <c r="O1034">
        <v>0</v>
      </c>
      <c r="P1034" s="1">
        <v>46022</v>
      </c>
      <c r="R1034" s="7"/>
      <c r="S1034" s="7"/>
    </row>
    <row r="1035" spans="1:19" x14ac:dyDescent="0.3">
      <c r="A1035" t="s">
        <v>1083</v>
      </c>
      <c r="B1035" t="s">
        <v>24</v>
      </c>
      <c r="C1035" t="s">
        <v>41</v>
      </c>
      <c r="D1035" s="5">
        <v>80257</v>
      </c>
      <c r="E1035">
        <v>33302.1</v>
      </c>
      <c r="F1035" t="s">
        <v>14</v>
      </c>
      <c r="G1035">
        <v>132</v>
      </c>
      <c r="H1035" s="1">
        <f t="shared" si="16"/>
        <v>49674</v>
      </c>
      <c r="I1035" t="s">
        <v>15</v>
      </c>
      <c r="J1035" s="1">
        <v>45652</v>
      </c>
      <c r="K1035" t="s">
        <v>35</v>
      </c>
      <c r="L1035" s="3">
        <v>5.6299999999999996E-2</v>
      </c>
      <c r="M1035" t="s">
        <v>17</v>
      </c>
      <c r="N1035" t="s">
        <v>42</v>
      </c>
      <c r="O1035">
        <v>96122.91</v>
      </c>
      <c r="P1035" s="1">
        <v>46022</v>
      </c>
      <c r="R1035" s="7"/>
      <c r="S1035" s="7"/>
    </row>
    <row r="1036" spans="1:19" x14ac:dyDescent="0.3">
      <c r="A1036" t="s">
        <v>1084</v>
      </c>
      <c r="B1036" t="s">
        <v>37</v>
      </c>
      <c r="C1036" t="s">
        <v>92</v>
      </c>
      <c r="D1036" s="5">
        <v>296048663</v>
      </c>
      <c r="E1036">
        <v>238077369.90000001</v>
      </c>
      <c r="F1036" t="s">
        <v>14</v>
      </c>
      <c r="G1036">
        <v>234</v>
      </c>
      <c r="H1036" s="1">
        <f t="shared" si="16"/>
        <v>49918</v>
      </c>
      <c r="I1036" t="s">
        <v>15</v>
      </c>
      <c r="J1036" s="1">
        <v>42774</v>
      </c>
      <c r="K1036" t="s">
        <v>39</v>
      </c>
      <c r="L1036" s="3">
        <v>7.2400000000000006E-2</v>
      </c>
      <c r="M1036" t="s">
        <v>29</v>
      </c>
      <c r="N1036" t="s">
        <v>30</v>
      </c>
      <c r="O1036">
        <v>0</v>
      </c>
      <c r="P1036" s="1">
        <v>46022</v>
      </c>
      <c r="R1036" s="7"/>
      <c r="S1036" s="7"/>
    </row>
    <row r="1037" spans="1:19" x14ac:dyDescent="0.3">
      <c r="A1037" t="s">
        <v>1085</v>
      </c>
      <c r="B1037" t="s">
        <v>24</v>
      </c>
      <c r="C1037" t="s">
        <v>41</v>
      </c>
      <c r="D1037" s="5">
        <v>95700</v>
      </c>
      <c r="E1037">
        <v>95055.24</v>
      </c>
      <c r="F1037" t="s">
        <v>14</v>
      </c>
      <c r="G1037">
        <v>78</v>
      </c>
      <c r="H1037" s="1">
        <f t="shared" si="16"/>
        <v>46507</v>
      </c>
      <c r="I1037" t="s">
        <v>15</v>
      </c>
      <c r="J1037" s="1">
        <v>44135</v>
      </c>
      <c r="K1037" t="s">
        <v>39</v>
      </c>
      <c r="L1037" s="3">
        <v>7.0999999999999994E-2</v>
      </c>
      <c r="M1037" t="s">
        <v>17</v>
      </c>
      <c r="N1037" t="s">
        <v>42</v>
      </c>
      <c r="O1037">
        <v>113943.71</v>
      </c>
      <c r="P1037" s="1">
        <v>46022</v>
      </c>
      <c r="R1037" s="7"/>
      <c r="S1037" s="7"/>
    </row>
    <row r="1038" spans="1:19" x14ac:dyDescent="0.3">
      <c r="A1038" t="s">
        <v>1086</v>
      </c>
      <c r="B1038" t="s">
        <v>24</v>
      </c>
      <c r="C1038" t="s">
        <v>25</v>
      </c>
      <c r="D1038" s="5">
        <v>138180</v>
      </c>
      <c r="E1038" s="4">
        <v>43748.29</v>
      </c>
      <c r="F1038" t="s">
        <v>14</v>
      </c>
      <c r="G1038">
        <v>342</v>
      </c>
      <c r="H1038" s="1">
        <f t="shared" si="16"/>
        <v>53631</v>
      </c>
      <c r="I1038" t="s">
        <v>15</v>
      </c>
      <c r="J1038" s="1">
        <v>43216</v>
      </c>
      <c r="K1038" t="s">
        <v>101</v>
      </c>
      <c r="L1038" s="3">
        <v>0.14580000000000001</v>
      </c>
      <c r="M1038" t="s">
        <v>17</v>
      </c>
      <c r="N1038" t="s">
        <v>26</v>
      </c>
      <c r="O1038">
        <v>173795.6</v>
      </c>
      <c r="P1038" s="1">
        <v>46022</v>
      </c>
      <c r="R1038" s="7"/>
      <c r="S1038" s="7"/>
    </row>
    <row r="1039" spans="1:19" x14ac:dyDescent="0.3">
      <c r="A1039" t="s">
        <v>1087</v>
      </c>
      <c r="B1039" t="s">
        <v>24</v>
      </c>
      <c r="C1039" t="s">
        <v>25</v>
      </c>
      <c r="D1039" s="5">
        <v>338794</v>
      </c>
      <c r="E1039">
        <v>300468.05</v>
      </c>
      <c r="F1039" t="s">
        <v>14</v>
      </c>
      <c r="G1039">
        <v>282</v>
      </c>
      <c r="H1039" s="1">
        <f t="shared" si="16"/>
        <v>52139</v>
      </c>
      <c r="I1039" t="s">
        <v>15</v>
      </c>
      <c r="J1039" s="1">
        <v>43525</v>
      </c>
      <c r="K1039" t="s">
        <v>39</v>
      </c>
      <c r="L1039" s="3">
        <v>6.5099999999999991E-2</v>
      </c>
      <c r="M1039" t="s">
        <v>17</v>
      </c>
      <c r="N1039" t="s">
        <v>26</v>
      </c>
      <c r="O1039">
        <v>431386.24</v>
      </c>
      <c r="P1039" s="1">
        <v>46022</v>
      </c>
      <c r="R1039" s="7"/>
      <c r="S1039" s="7"/>
    </row>
    <row r="1040" spans="1:19" x14ac:dyDescent="0.3">
      <c r="A1040" t="s">
        <v>1088</v>
      </c>
      <c r="B1040" t="s">
        <v>20</v>
      </c>
      <c r="C1040" t="s">
        <v>21</v>
      </c>
      <c r="D1040" s="5">
        <v>3027692</v>
      </c>
      <c r="E1040">
        <v>2566151.84</v>
      </c>
      <c r="F1040" t="s">
        <v>14</v>
      </c>
      <c r="G1040">
        <v>324</v>
      </c>
      <c r="H1040" s="1">
        <f t="shared" si="16"/>
        <v>53113</v>
      </c>
      <c r="I1040" t="s">
        <v>15</v>
      </c>
      <c r="J1040" s="1">
        <v>43250</v>
      </c>
      <c r="K1040" t="s">
        <v>56</v>
      </c>
      <c r="L1040" s="3">
        <v>3.7599999999999995E-2</v>
      </c>
      <c r="M1040" t="s">
        <v>17</v>
      </c>
      <c r="N1040" t="s">
        <v>18</v>
      </c>
      <c r="O1040">
        <v>3576434.29</v>
      </c>
      <c r="P1040" s="1">
        <v>46022</v>
      </c>
      <c r="R1040" s="7"/>
      <c r="S1040" s="7"/>
    </row>
    <row r="1041" spans="1:19" x14ac:dyDescent="0.3">
      <c r="A1041" t="s">
        <v>1089</v>
      </c>
      <c r="B1041" t="s">
        <v>24</v>
      </c>
      <c r="C1041" t="s">
        <v>32</v>
      </c>
      <c r="D1041" s="5">
        <v>15531</v>
      </c>
      <c r="E1041">
        <v>4693.47</v>
      </c>
      <c r="F1041" t="s">
        <v>33</v>
      </c>
      <c r="G1041">
        <v>18</v>
      </c>
      <c r="H1041" s="1">
        <f t="shared" si="16"/>
        <v>45535</v>
      </c>
      <c r="I1041" t="s">
        <v>15</v>
      </c>
      <c r="J1041" s="1">
        <v>44978</v>
      </c>
      <c r="K1041" t="s">
        <v>16</v>
      </c>
      <c r="L1041" s="3">
        <v>0.1229</v>
      </c>
      <c r="M1041" t="s">
        <v>29</v>
      </c>
      <c r="N1041" t="s">
        <v>30</v>
      </c>
      <c r="O1041">
        <v>0</v>
      </c>
      <c r="P1041" s="1">
        <v>46022</v>
      </c>
      <c r="R1041" s="7"/>
      <c r="S1041" s="7"/>
    </row>
    <row r="1042" spans="1:19" x14ac:dyDescent="0.3">
      <c r="A1042" t="s">
        <v>1090</v>
      </c>
      <c r="B1042" t="s">
        <v>24</v>
      </c>
      <c r="C1042" t="s">
        <v>25</v>
      </c>
      <c r="D1042" s="5">
        <v>742982</v>
      </c>
      <c r="E1042">
        <v>341325.31</v>
      </c>
      <c r="F1042" t="s">
        <v>14</v>
      </c>
      <c r="G1042">
        <v>360</v>
      </c>
      <c r="H1042" s="1">
        <f t="shared" si="16"/>
        <v>55184</v>
      </c>
      <c r="I1042" t="s">
        <v>15</v>
      </c>
      <c r="J1042" s="1">
        <v>44210</v>
      </c>
      <c r="K1042" t="s">
        <v>16</v>
      </c>
      <c r="L1042" s="3">
        <v>8.4100000000000008E-2</v>
      </c>
      <c r="M1042" t="s">
        <v>17</v>
      </c>
      <c r="N1042" t="s">
        <v>26</v>
      </c>
      <c r="O1042">
        <v>1041174.98</v>
      </c>
      <c r="P1042" s="1">
        <v>46022</v>
      </c>
      <c r="R1042" s="7"/>
      <c r="S1042" s="7"/>
    </row>
    <row r="1043" spans="1:19" x14ac:dyDescent="0.3">
      <c r="A1043" t="s">
        <v>1091</v>
      </c>
      <c r="B1043" t="s">
        <v>24</v>
      </c>
      <c r="C1043" t="s">
        <v>25</v>
      </c>
      <c r="D1043" s="5">
        <v>783105</v>
      </c>
      <c r="E1043">
        <v>367045.57</v>
      </c>
      <c r="F1043" t="s">
        <v>14</v>
      </c>
      <c r="G1043">
        <v>318</v>
      </c>
      <c r="H1043" s="1">
        <f t="shared" si="16"/>
        <v>52170</v>
      </c>
      <c r="I1043" t="s">
        <v>15</v>
      </c>
      <c r="J1043" s="1">
        <v>42467</v>
      </c>
      <c r="K1043" t="s">
        <v>22</v>
      </c>
      <c r="L1043" s="3">
        <v>3.9300000000000002E-2</v>
      </c>
      <c r="M1043" t="s">
        <v>17</v>
      </c>
      <c r="N1043" t="s">
        <v>26</v>
      </c>
      <c r="O1043">
        <v>978774.83</v>
      </c>
      <c r="P1043" s="1">
        <v>46022</v>
      </c>
      <c r="R1043" s="7"/>
      <c r="S1043" s="7"/>
    </row>
    <row r="1044" spans="1:19" x14ac:dyDescent="0.3">
      <c r="A1044" t="s">
        <v>1092</v>
      </c>
      <c r="B1044" t="s">
        <v>24</v>
      </c>
      <c r="C1044" t="s">
        <v>25</v>
      </c>
      <c r="D1044" s="5">
        <v>192264</v>
      </c>
      <c r="E1044">
        <v>188495.72</v>
      </c>
      <c r="F1044" t="s">
        <v>14</v>
      </c>
      <c r="G1044">
        <v>120</v>
      </c>
      <c r="H1044" s="1">
        <f t="shared" si="16"/>
        <v>45991</v>
      </c>
      <c r="I1044" t="s">
        <v>15</v>
      </c>
      <c r="J1044" s="1">
        <v>42327</v>
      </c>
      <c r="K1044" t="s">
        <v>22</v>
      </c>
      <c r="L1044" s="3">
        <v>4.8399999999999999E-2</v>
      </c>
      <c r="M1044" t="s">
        <v>17</v>
      </c>
      <c r="N1044" t="s">
        <v>26</v>
      </c>
      <c r="O1044">
        <v>258938.55</v>
      </c>
      <c r="P1044" s="1">
        <v>46022</v>
      </c>
      <c r="R1044" s="7"/>
      <c r="S1044" s="7"/>
    </row>
    <row r="1045" spans="1:19" x14ac:dyDescent="0.3">
      <c r="A1045" t="s">
        <v>1093</v>
      </c>
      <c r="B1045" t="s">
        <v>24</v>
      </c>
      <c r="C1045" t="s">
        <v>32</v>
      </c>
      <c r="D1045" s="5">
        <v>26179</v>
      </c>
      <c r="E1045" s="4">
        <v>6879.88</v>
      </c>
      <c r="F1045" t="s">
        <v>33</v>
      </c>
      <c r="G1045">
        <v>186</v>
      </c>
      <c r="H1045" s="1">
        <f t="shared" si="16"/>
        <v>49399</v>
      </c>
      <c r="I1045" t="s">
        <v>15</v>
      </c>
      <c r="J1045" s="1">
        <v>43724</v>
      </c>
      <c r="K1045" t="s">
        <v>101</v>
      </c>
      <c r="L1045" s="3">
        <v>0.14000000000000001</v>
      </c>
      <c r="M1045" t="s">
        <v>29</v>
      </c>
      <c r="N1045" t="s">
        <v>30</v>
      </c>
      <c r="O1045">
        <v>0</v>
      </c>
      <c r="P1045" s="1">
        <v>46022</v>
      </c>
      <c r="R1045" s="7"/>
      <c r="S1045" s="7"/>
    </row>
    <row r="1046" spans="1:19" x14ac:dyDescent="0.3">
      <c r="A1046" t="s">
        <v>1094</v>
      </c>
      <c r="B1046" t="s">
        <v>24</v>
      </c>
      <c r="C1046" t="s">
        <v>32</v>
      </c>
      <c r="D1046" s="5">
        <v>25936</v>
      </c>
      <c r="E1046">
        <v>21247.57</v>
      </c>
      <c r="F1046" t="s">
        <v>33</v>
      </c>
      <c r="G1046">
        <v>60</v>
      </c>
      <c r="H1046" s="1">
        <f t="shared" si="16"/>
        <v>45322</v>
      </c>
      <c r="I1046" t="s">
        <v>15</v>
      </c>
      <c r="J1046" s="1">
        <v>43471</v>
      </c>
      <c r="K1046" t="s">
        <v>22</v>
      </c>
      <c r="L1046" s="3">
        <v>4.0599999999999997E-2</v>
      </c>
      <c r="M1046" t="s">
        <v>29</v>
      </c>
      <c r="N1046" t="s">
        <v>30</v>
      </c>
      <c r="O1046">
        <v>0</v>
      </c>
      <c r="P1046" s="1">
        <v>46022</v>
      </c>
      <c r="R1046" s="7"/>
      <c r="S1046" s="7"/>
    </row>
    <row r="1047" spans="1:19" x14ac:dyDescent="0.3">
      <c r="A1047" t="s">
        <v>1095</v>
      </c>
      <c r="B1047" t="s">
        <v>20</v>
      </c>
      <c r="C1047" t="s">
        <v>89</v>
      </c>
      <c r="D1047" s="5">
        <v>1877940</v>
      </c>
      <c r="E1047">
        <v>752628.4</v>
      </c>
      <c r="F1047" t="s">
        <v>14</v>
      </c>
      <c r="G1047">
        <v>144</v>
      </c>
      <c r="H1047" s="1">
        <f t="shared" si="16"/>
        <v>48213</v>
      </c>
      <c r="I1047" t="s">
        <v>15</v>
      </c>
      <c r="J1047" s="1">
        <v>43812</v>
      </c>
      <c r="K1047" t="s">
        <v>16</v>
      </c>
      <c r="L1047" s="3">
        <v>8.9800000000000005E-2</v>
      </c>
      <c r="M1047" t="s">
        <v>17</v>
      </c>
      <c r="N1047" t="s">
        <v>42</v>
      </c>
      <c r="O1047">
        <v>2371039.5699999998</v>
      </c>
      <c r="P1047" s="1">
        <v>46022</v>
      </c>
      <c r="R1047" s="7"/>
      <c r="S1047" s="7"/>
    </row>
    <row r="1048" spans="1:19" x14ac:dyDescent="0.3">
      <c r="A1048" t="s">
        <v>1096</v>
      </c>
      <c r="B1048" t="s">
        <v>37</v>
      </c>
      <c r="C1048" t="s">
        <v>74</v>
      </c>
      <c r="D1048" s="5">
        <v>467133183</v>
      </c>
      <c r="E1048">
        <v>353985729.89999998</v>
      </c>
      <c r="F1048" t="s">
        <v>14</v>
      </c>
      <c r="G1048">
        <v>240</v>
      </c>
      <c r="H1048" s="1">
        <f t="shared" si="16"/>
        <v>48791</v>
      </c>
      <c r="I1048" t="s">
        <v>15</v>
      </c>
      <c r="J1048" s="1">
        <v>41473</v>
      </c>
      <c r="K1048" t="s">
        <v>56</v>
      </c>
      <c r="L1048" s="3">
        <v>3.3000000000000002E-2</v>
      </c>
      <c r="M1048" t="s">
        <v>17</v>
      </c>
      <c r="N1048" t="s">
        <v>18</v>
      </c>
      <c r="O1048">
        <v>650992869.39999998</v>
      </c>
      <c r="P1048" s="1">
        <v>46022</v>
      </c>
      <c r="R1048" s="7"/>
      <c r="S1048" s="7"/>
    </row>
    <row r="1049" spans="1:19" x14ac:dyDescent="0.3">
      <c r="A1049" t="s">
        <v>1097</v>
      </c>
      <c r="B1049" t="s">
        <v>24</v>
      </c>
      <c r="C1049" t="s">
        <v>28</v>
      </c>
      <c r="D1049" s="5">
        <v>41548</v>
      </c>
      <c r="E1049">
        <v>19860.259999999998</v>
      </c>
      <c r="F1049" t="s">
        <v>14</v>
      </c>
      <c r="G1049">
        <v>324</v>
      </c>
      <c r="H1049" s="1">
        <f t="shared" si="16"/>
        <v>51074</v>
      </c>
      <c r="I1049" t="s">
        <v>15</v>
      </c>
      <c r="J1049" s="1">
        <v>41190</v>
      </c>
      <c r="K1049" t="s">
        <v>35</v>
      </c>
      <c r="L1049" s="3">
        <v>3.1400000000000004E-2</v>
      </c>
      <c r="M1049" t="s">
        <v>29</v>
      </c>
      <c r="N1049" t="s">
        <v>30</v>
      </c>
      <c r="O1049">
        <v>0</v>
      </c>
      <c r="P1049" s="1">
        <v>46022</v>
      </c>
      <c r="R1049" s="7"/>
      <c r="S1049" s="7"/>
    </row>
    <row r="1050" spans="1:19" x14ac:dyDescent="0.3">
      <c r="A1050" t="s">
        <v>1098</v>
      </c>
      <c r="B1050" t="s">
        <v>20</v>
      </c>
      <c r="C1050" t="s">
        <v>21</v>
      </c>
      <c r="D1050" s="5">
        <v>3501186</v>
      </c>
      <c r="E1050">
        <v>2172569.4700000002</v>
      </c>
      <c r="F1050" t="s">
        <v>33</v>
      </c>
      <c r="G1050">
        <v>198</v>
      </c>
      <c r="H1050" s="1">
        <f t="shared" si="16"/>
        <v>49552</v>
      </c>
      <c r="I1050" t="s">
        <v>15</v>
      </c>
      <c r="J1050" s="1">
        <v>43523</v>
      </c>
      <c r="K1050" t="s">
        <v>22</v>
      </c>
      <c r="L1050" s="3">
        <v>4.3400000000000001E-2</v>
      </c>
      <c r="M1050" t="s">
        <v>29</v>
      </c>
      <c r="N1050" t="s">
        <v>30</v>
      </c>
      <c r="O1050">
        <v>0</v>
      </c>
      <c r="P1050" s="1">
        <v>46022</v>
      </c>
      <c r="R1050" s="7"/>
      <c r="S1050" s="7"/>
    </row>
    <row r="1051" spans="1:19" x14ac:dyDescent="0.3">
      <c r="A1051" t="s">
        <v>1099</v>
      </c>
      <c r="B1051" t="s">
        <v>24</v>
      </c>
      <c r="C1051" t="s">
        <v>32</v>
      </c>
      <c r="D1051" s="5">
        <v>36002</v>
      </c>
      <c r="E1051">
        <v>30578.33</v>
      </c>
      <c r="F1051" t="s">
        <v>33</v>
      </c>
      <c r="G1051">
        <v>48</v>
      </c>
      <c r="H1051" s="1">
        <f t="shared" si="16"/>
        <v>45565</v>
      </c>
      <c r="I1051" t="s">
        <v>15</v>
      </c>
      <c r="J1051" s="1">
        <v>44081</v>
      </c>
      <c r="K1051" t="s">
        <v>22</v>
      </c>
      <c r="L1051" s="3">
        <v>3.2000000000000001E-2</v>
      </c>
      <c r="M1051" t="s">
        <v>29</v>
      </c>
      <c r="N1051" t="s">
        <v>30</v>
      </c>
      <c r="O1051">
        <v>0</v>
      </c>
      <c r="P1051" s="1">
        <v>46022</v>
      </c>
      <c r="R1051" s="7"/>
      <c r="S1051" s="7"/>
    </row>
    <row r="1052" spans="1:19" x14ac:dyDescent="0.3">
      <c r="A1052" t="s">
        <v>1100</v>
      </c>
      <c r="B1052" t="s">
        <v>24</v>
      </c>
      <c r="C1052" t="s">
        <v>41</v>
      </c>
      <c r="D1052" s="5">
        <v>51554</v>
      </c>
      <c r="E1052">
        <v>42467.93</v>
      </c>
      <c r="F1052" t="s">
        <v>14</v>
      </c>
      <c r="G1052">
        <v>144</v>
      </c>
      <c r="H1052" s="1">
        <f t="shared" si="16"/>
        <v>48487</v>
      </c>
      <c r="I1052" t="s">
        <v>15</v>
      </c>
      <c r="J1052" s="1">
        <v>44082</v>
      </c>
      <c r="K1052" t="s">
        <v>39</v>
      </c>
      <c r="L1052" s="3">
        <v>4.82E-2</v>
      </c>
      <c r="M1052" t="s">
        <v>17</v>
      </c>
      <c r="N1052" t="s">
        <v>42</v>
      </c>
      <c r="O1052">
        <v>60436.42</v>
      </c>
      <c r="P1052" s="1">
        <v>46022</v>
      </c>
      <c r="R1052" s="7"/>
      <c r="S1052" s="7"/>
    </row>
    <row r="1053" spans="1:19" x14ac:dyDescent="0.3">
      <c r="A1053" t="s">
        <v>1101</v>
      </c>
      <c r="B1053" t="s">
        <v>12</v>
      </c>
      <c r="C1053" t="s">
        <v>63</v>
      </c>
      <c r="D1053" s="5">
        <v>46128732</v>
      </c>
      <c r="E1053" s="4">
        <v>40583175.340000004</v>
      </c>
      <c r="F1053" t="s">
        <v>14</v>
      </c>
      <c r="G1053">
        <v>300</v>
      </c>
      <c r="H1053" s="1">
        <f t="shared" si="16"/>
        <v>54454</v>
      </c>
      <c r="I1053" t="s">
        <v>15</v>
      </c>
      <c r="J1053" s="1">
        <v>45293</v>
      </c>
      <c r="K1053" t="s">
        <v>22</v>
      </c>
      <c r="L1053" s="3">
        <v>0.16769999999999999</v>
      </c>
      <c r="M1053" t="s">
        <v>17</v>
      </c>
      <c r="N1053" t="s">
        <v>54</v>
      </c>
      <c r="O1053">
        <v>59576799.600000001</v>
      </c>
      <c r="P1053" s="1">
        <v>46022</v>
      </c>
      <c r="R1053" s="7"/>
      <c r="S1053" s="7"/>
    </row>
    <row r="1054" spans="1:19" x14ac:dyDescent="0.3">
      <c r="A1054" t="s">
        <v>1102</v>
      </c>
      <c r="B1054" t="s">
        <v>20</v>
      </c>
      <c r="C1054" t="s">
        <v>21</v>
      </c>
      <c r="D1054" s="5">
        <v>3488247</v>
      </c>
      <c r="E1054">
        <v>535988.72</v>
      </c>
      <c r="F1054" t="s">
        <v>33</v>
      </c>
      <c r="G1054">
        <v>120</v>
      </c>
      <c r="H1054" s="1">
        <f t="shared" si="16"/>
        <v>48883</v>
      </c>
      <c r="I1054" t="s">
        <v>15</v>
      </c>
      <c r="J1054" s="1">
        <v>45202</v>
      </c>
      <c r="K1054" t="s">
        <v>22</v>
      </c>
      <c r="L1054" s="3">
        <v>7.17E-2</v>
      </c>
      <c r="M1054" t="s">
        <v>29</v>
      </c>
      <c r="N1054" t="s">
        <v>30</v>
      </c>
      <c r="O1054">
        <v>0</v>
      </c>
      <c r="P1054" s="1">
        <v>46022</v>
      </c>
      <c r="R1054" s="7"/>
      <c r="S1054" s="7"/>
    </row>
    <row r="1055" spans="1:19" x14ac:dyDescent="0.3">
      <c r="A1055" t="s">
        <v>1103</v>
      </c>
      <c r="B1055" t="s">
        <v>24</v>
      </c>
      <c r="C1055" t="s">
        <v>32</v>
      </c>
      <c r="D1055" s="5">
        <v>36720</v>
      </c>
      <c r="E1055">
        <v>26542.94</v>
      </c>
      <c r="F1055" t="s">
        <v>33</v>
      </c>
      <c r="G1055">
        <v>360</v>
      </c>
      <c r="H1055" s="1">
        <f t="shared" si="16"/>
        <v>53904</v>
      </c>
      <c r="I1055" t="s">
        <v>15</v>
      </c>
      <c r="J1055" s="1">
        <v>42919</v>
      </c>
      <c r="K1055" t="s">
        <v>56</v>
      </c>
      <c r="L1055" s="3">
        <v>2.8399999999999998E-2</v>
      </c>
      <c r="M1055" t="s">
        <v>29</v>
      </c>
      <c r="N1055" t="s">
        <v>30</v>
      </c>
      <c r="O1055">
        <v>0</v>
      </c>
      <c r="P1055" s="1">
        <v>46022</v>
      </c>
      <c r="R1055" s="7"/>
      <c r="S1055" s="7"/>
    </row>
    <row r="1056" spans="1:19" x14ac:dyDescent="0.3">
      <c r="A1056" t="s">
        <v>1104</v>
      </c>
      <c r="B1056" t="s">
        <v>24</v>
      </c>
      <c r="C1056" t="s">
        <v>32</v>
      </c>
      <c r="D1056" s="5">
        <v>43223</v>
      </c>
      <c r="E1056">
        <v>9767.8700000000008</v>
      </c>
      <c r="F1056" t="s">
        <v>33</v>
      </c>
      <c r="G1056">
        <v>96</v>
      </c>
      <c r="H1056" s="1">
        <f t="shared" si="16"/>
        <v>47483</v>
      </c>
      <c r="I1056" t="s">
        <v>15</v>
      </c>
      <c r="J1056" s="1">
        <v>44554</v>
      </c>
      <c r="K1056" t="s">
        <v>39</v>
      </c>
      <c r="L1056" s="3">
        <v>6.0499999999999998E-2</v>
      </c>
      <c r="M1056" t="s">
        <v>29</v>
      </c>
      <c r="N1056" t="s">
        <v>30</v>
      </c>
      <c r="O1056">
        <v>0</v>
      </c>
      <c r="P1056" s="1">
        <v>46022</v>
      </c>
      <c r="R1056" s="7"/>
      <c r="S1056" s="7"/>
    </row>
    <row r="1057" spans="1:19" x14ac:dyDescent="0.3">
      <c r="A1057" t="s">
        <v>1105</v>
      </c>
      <c r="B1057" t="s">
        <v>24</v>
      </c>
      <c r="C1057" t="s">
        <v>41</v>
      </c>
      <c r="D1057" s="5">
        <v>34666</v>
      </c>
      <c r="E1057">
        <v>16440.099999999999</v>
      </c>
      <c r="F1057" t="s">
        <v>14</v>
      </c>
      <c r="G1057">
        <v>300</v>
      </c>
      <c r="H1057" s="1">
        <f t="shared" si="16"/>
        <v>50099</v>
      </c>
      <c r="I1057" t="s">
        <v>15</v>
      </c>
      <c r="J1057" s="1">
        <v>40968</v>
      </c>
      <c r="K1057" t="s">
        <v>39</v>
      </c>
      <c r="L1057" s="3">
        <v>6.5700000000000008E-2</v>
      </c>
      <c r="M1057" t="s">
        <v>17</v>
      </c>
      <c r="N1057" t="s">
        <v>42</v>
      </c>
      <c r="O1057">
        <v>38412.14</v>
      </c>
      <c r="P1057" s="1">
        <v>46022</v>
      </c>
      <c r="R1057" s="7"/>
      <c r="S1057" s="7"/>
    </row>
    <row r="1058" spans="1:19" x14ac:dyDescent="0.3">
      <c r="A1058" t="s">
        <v>1106</v>
      </c>
      <c r="B1058" t="s">
        <v>24</v>
      </c>
      <c r="C1058" t="s">
        <v>28</v>
      </c>
      <c r="D1058" s="5">
        <v>40546</v>
      </c>
      <c r="E1058">
        <v>24073.64</v>
      </c>
      <c r="F1058" t="s">
        <v>48</v>
      </c>
      <c r="G1058">
        <v>312</v>
      </c>
      <c r="H1058" s="1">
        <f t="shared" si="16"/>
        <v>51043</v>
      </c>
      <c r="I1058" t="s">
        <v>15</v>
      </c>
      <c r="J1058" s="1">
        <v>41547</v>
      </c>
      <c r="K1058" t="s">
        <v>35</v>
      </c>
      <c r="L1058" s="3">
        <v>4.1100000000000005E-2</v>
      </c>
      <c r="M1058" t="s">
        <v>29</v>
      </c>
      <c r="N1058" t="s">
        <v>30</v>
      </c>
      <c r="O1058">
        <v>0</v>
      </c>
      <c r="P1058" s="1">
        <v>46022</v>
      </c>
      <c r="R1058" s="7"/>
      <c r="S1058" s="7"/>
    </row>
    <row r="1059" spans="1:19" x14ac:dyDescent="0.3">
      <c r="A1059" t="s">
        <v>1107</v>
      </c>
      <c r="B1059" t="s">
        <v>24</v>
      </c>
      <c r="C1059" t="s">
        <v>25</v>
      </c>
      <c r="D1059" s="5">
        <v>275717</v>
      </c>
      <c r="E1059">
        <v>127509.4</v>
      </c>
      <c r="F1059" t="s">
        <v>14</v>
      </c>
      <c r="G1059">
        <v>72</v>
      </c>
      <c r="H1059" s="1">
        <f t="shared" si="16"/>
        <v>46904</v>
      </c>
      <c r="I1059" t="s">
        <v>15</v>
      </c>
      <c r="J1059" s="1">
        <v>44708</v>
      </c>
      <c r="K1059" t="s">
        <v>22</v>
      </c>
      <c r="L1059" s="3">
        <v>5.3899999999999997E-2</v>
      </c>
      <c r="M1059" t="s">
        <v>17</v>
      </c>
      <c r="N1059" t="s">
        <v>26</v>
      </c>
      <c r="O1059">
        <v>347624.48</v>
      </c>
      <c r="P1059" s="1">
        <v>46022</v>
      </c>
      <c r="R1059" s="7"/>
      <c r="S1059" s="7"/>
    </row>
    <row r="1060" spans="1:19" x14ac:dyDescent="0.3">
      <c r="A1060" t="s">
        <v>1108</v>
      </c>
      <c r="B1060" t="s">
        <v>24</v>
      </c>
      <c r="C1060" t="s">
        <v>28</v>
      </c>
      <c r="D1060" s="5">
        <v>17922</v>
      </c>
      <c r="E1060">
        <v>10173.299999999999</v>
      </c>
      <c r="F1060" t="s">
        <v>14</v>
      </c>
      <c r="G1060">
        <v>78</v>
      </c>
      <c r="H1060" s="1">
        <f t="shared" si="16"/>
        <v>47330</v>
      </c>
      <c r="I1060" t="s">
        <v>15</v>
      </c>
      <c r="J1060" s="1">
        <v>44939</v>
      </c>
      <c r="K1060" t="s">
        <v>39</v>
      </c>
      <c r="L1060" s="3">
        <v>9.2100000000000015E-2</v>
      </c>
      <c r="M1060" t="s">
        <v>29</v>
      </c>
      <c r="N1060" t="s">
        <v>30</v>
      </c>
      <c r="O1060">
        <v>0</v>
      </c>
      <c r="P1060" s="1">
        <v>46022</v>
      </c>
      <c r="R1060" s="7"/>
      <c r="S1060" s="7"/>
    </row>
    <row r="1061" spans="1:19" x14ac:dyDescent="0.3">
      <c r="A1061" t="s">
        <v>1109</v>
      </c>
      <c r="B1061" t="s">
        <v>12</v>
      </c>
      <c r="C1061" t="s">
        <v>13</v>
      </c>
      <c r="D1061" s="5">
        <v>17444912</v>
      </c>
      <c r="E1061">
        <v>17390373.850000001</v>
      </c>
      <c r="F1061" t="s">
        <v>33</v>
      </c>
      <c r="G1061">
        <v>270</v>
      </c>
      <c r="H1061" s="1">
        <f t="shared" si="16"/>
        <v>52931</v>
      </c>
      <c r="I1061" t="s">
        <v>15</v>
      </c>
      <c r="J1061" s="1">
        <v>44712</v>
      </c>
      <c r="K1061" t="s">
        <v>39</v>
      </c>
      <c r="L1061" s="3">
        <v>7.6399999999999996E-2</v>
      </c>
      <c r="M1061" t="s">
        <v>17</v>
      </c>
      <c r="N1061" t="s">
        <v>26</v>
      </c>
      <c r="O1061">
        <v>22822643</v>
      </c>
      <c r="P1061" s="1">
        <v>46022</v>
      </c>
      <c r="R1061" s="7"/>
      <c r="S1061" s="7"/>
    </row>
    <row r="1062" spans="1:19" x14ac:dyDescent="0.3">
      <c r="A1062" t="s">
        <v>1110</v>
      </c>
      <c r="B1062" t="s">
        <v>20</v>
      </c>
      <c r="C1062" t="s">
        <v>89</v>
      </c>
      <c r="D1062" s="5">
        <v>4893701</v>
      </c>
      <c r="E1062">
        <v>1084911.9099999999</v>
      </c>
      <c r="F1062" t="s">
        <v>48</v>
      </c>
      <c r="G1062">
        <v>252</v>
      </c>
      <c r="H1062" s="1">
        <f t="shared" si="16"/>
        <v>51256</v>
      </c>
      <c r="I1062" t="s">
        <v>15</v>
      </c>
      <c r="J1062" s="1">
        <v>43580</v>
      </c>
      <c r="K1062" t="s">
        <v>22</v>
      </c>
      <c r="L1062" s="3">
        <v>4.8000000000000001E-2</v>
      </c>
      <c r="M1062" t="s">
        <v>17</v>
      </c>
      <c r="N1062" t="s">
        <v>54</v>
      </c>
      <c r="O1062">
        <v>7492790.4500000002</v>
      </c>
      <c r="P1062" s="1">
        <v>46022</v>
      </c>
      <c r="R1062" s="7"/>
      <c r="S1062" s="7"/>
    </row>
    <row r="1063" spans="1:19" x14ac:dyDescent="0.3">
      <c r="A1063" t="s">
        <v>1111</v>
      </c>
      <c r="B1063" t="s">
        <v>24</v>
      </c>
      <c r="C1063" t="s">
        <v>32</v>
      </c>
      <c r="D1063" s="5">
        <v>42970</v>
      </c>
      <c r="E1063">
        <v>30419.14</v>
      </c>
      <c r="F1063" t="s">
        <v>33</v>
      </c>
      <c r="G1063">
        <v>234</v>
      </c>
      <c r="H1063" s="1">
        <f t="shared" si="16"/>
        <v>48852</v>
      </c>
      <c r="I1063" t="s">
        <v>15</v>
      </c>
      <c r="J1063" s="1">
        <v>41703</v>
      </c>
      <c r="K1063" t="s">
        <v>22</v>
      </c>
      <c r="L1063" s="3">
        <v>4.7500000000000001E-2</v>
      </c>
      <c r="M1063" t="s">
        <v>29</v>
      </c>
      <c r="N1063" t="s">
        <v>30</v>
      </c>
      <c r="O1063">
        <v>0</v>
      </c>
      <c r="P1063" s="1">
        <v>46022</v>
      </c>
      <c r="R1063" s="7"/>
      <c r="S1063" s="7"/>
    </row>
    <row r="1064" spans="1:19" x14ac:dyDescent="0.3">
      <c r="A1064" t="s">
        <v>1112</v>
      </c>
      <c r="B1064" t="s">
        <v>24</v>
      </c>
      <c r="C1064" t="s">
        <v>25</v>
      </c>
      <c r="D1064" s="5">
        <v>731053</v>
      </c>
      <c r="E1064" s="4">
        <v>333653.17</v>
      </c>
      <c r="F1064" t="s">
        <v>14</v>
      </c>
      <c r="G1064">
        <v>150</v>
      </c>
      <c r="H1064" s="1">
        <f t="shared" si="16"/>
        <v>46022</v>
      </c>
      <c r="I1064" t="s">
        <v>15</v>
      </c>
      <c r="J1064" s="1">
        <v>41435</v>
      </c>
      <c r="K1064" t="s">
        <v>101</v>
      </c>
      <c r="L1064" s="3">
        <v>0.14699999999999999</v>
      </c>
      <c r="M1064" t="s">
        <v>17</v>
      </c>
      <c r="N1064" t="s">
        <v>26</v>
      </c>
      <c r="O1064">
        <v>990041</v>
      </c>
      <c r="P1064" s="1">
        <v>46022</v>
      </c>
      <c r="R1064" s="7"/>
      <c r="S1064" s="7"/>
    </row>
    <row r="1065" spans="1:19" x14ac:dyDescent="0.3">
      <c r="A1065" t="s">
        <v>1113</v>
      </c>
      <c r="B1065" t="s">
        <v>24</v>
      </c>
      <c r="C1065" t="s">
        <v>41</v>
      </c>
      <c r="D1065" s="5">
        <v>75435</v>
      </c>
      <c r="E1065">
        <v>16573.759999999998</v>
      </c>
      <c r="F1065" t="s">
        <v>14</v>
      </c>
      <c r="G1065">
        <v>276</v>
      </c>
      <c r="H1065" s="1">
        <f t="shared" si="16"/>
        <v>49705</v>
      </c>
      <c r="I1065" t="s">
        <v>15</v>
      </c>
      <c r="J1065" s="1">
        <v>41298</v>
      </c>
      <c r="K1065" t="s">
        <v>39</v>
      </c>
      <c r="L1065" s="3">
        <v>6.4000000000000001E-2</v>
      </c>
      <c r="M1065" t="s">
        <v>17</v>
      </c>
      <c r="N1065" t="s">
        <v>42</v>
      </c>
      <c r="O1065">
        <v>91549.83</v>
      </c>
      <c r="P1065" s="1">
        <v>46022</v>
      </c>
      <c r="R1065" s="7"/>
      <c r="S1065" s="7"/>
    </row>
    <row r="1066" spans="1:19" x14ac:dyDescent="0.3">
      <c r="A1066" t="s">
        <v>1114</v>
      </c>
      <c r="B1066" t="s">
        <v>24</v>
      </c>
      <c r="C1066" t="s">
        <v>41</v>
      </c>
      <c r="D1066" s="5">
        <v>60587</v>
      </c>
      <c r="E1066">
        <v>14714.24</v>
      </c>
      <c r="F1066" t="s">
        <v>14</v>
      </c>
      <c r="G1066">
        <v>192</v>
      </c>
      <c r="H1066" s="1">
        <f t="shared" si="16"/>
        <v>50921</v>
      </c>
      <c r="I1066" t="s">
        <v>15</v>
      </c>
      <c r="J1066" s="1">
        <v>45071</v>
      </c>
      <c r="K1066" t="s">
        <v>22</v>
      </c>
      <c r="L1066" s="3">
        <v>7.980000000000001E-2</v>
      </c>
      <c r="M1066" t="s">
        <v>17</v>
      </c>
      <c r="N1066" t="s">
        <v>42</v>
      </c>
      <c r="O1066">
        <v>61678.06</v>
      </c>
      <c r="P1066" s="1">
        <v>46022</v>
      </c>
      <c r="R1066" s="7"/>
      <c r="S1066" s="7"/>
    </row>
    <row r="1067" spans="1:19" x14ac:dyDescent="0.3">
      <c r="A1067" t="s">
        <v>1115</v>
      </c>
      <c r="B1067" t="s">
        <v>12</v>
      </c>
      <c r="C1067" t="s">
        <v>13</v>
      </c>
      <c r="D1067" s="5">
        <v>47407443</v>
      </c>
      <c r="E1067">
        <v>45243093.609999999</v>
      </c>
      <c r="F1067" t="s">
        <v>48</v>
      </c>
      <c r="G1067">
        <v>144</v>
      </c>
      <c r="H1067" s="1">
        <f t="shared" si="16"/>
        <v>47848</v>
      </c>
      <c r="I1067" t="s">
        <v>15</v>
      </c>
      <c r="J1067" s="1">
        <v>43451</v>
      </c>
      <c r="K1067" t="s">
        <v>22</v>
      </c>
      <c r="L1067" s="3">
        <v>5.7599999999999998E-2</v>
      </c>
      <c r="M1067" t="s">
        <v>17</v>
      </c>
      <c r="N1067" t="s">
        <v>18</v>
      </c>
      <c r="O1067">
        <v>63325118.170000002</v>
      </c>
      <c r="P1067" s="1">
        <v>46022</v>
      </c>
      <c r="R1067" s="7"/>
      <c r="S1067" s="7"/>
    </row>
    <row r="1068" spans="1:19" x14ac:dyDescent="0.3">
      <c r="A1068" t="s">
        <v>1116</v>
      </c>
      <c r="B1068" t="s">
        <v>24</v>
      </c>
      <c r="C1068" t="s">
        <v>25</v>
      </c>
      <c r="D1068" s="5">
        <v>546633</v>
      </c>
      <c r="E1068">
        <v>487400.48</v>
      </c>
      <c r="F1068" t="s">
        <v>14</v>
      </c>
      <c r="G1068">
        <v>288</v>
      </c>
      <c r="H1068" s="1">
        <f t="shared" si="16"/>
        <v>50344</v>
      </c>
      <c r="I1068" t="s">
        <v>15</v>
      </c>
      <c r="J1068" s="1">
        <v>41564</v>
      </c>
      <c r="K1068" t="s">
        <v>39</v>
      </c>
      <c r="L1068" s="3">
        <v>6.9900000000000004E-2</v>
      </c>
      <c r="M1068" t="s">
        <v>17</v>
      </c>
      <c r="N1068" t="s">
        <v>26</v>
      </c>
      <c r="O1068">
        <v>684001.1</v>
      </c>
      <c r="P1068" s="1">
        <v>46022</v>
      </c>
      <c r="R1068" s="7"/>
      <c r="S1068" s="7"/>
    </row>
    <row r="1069" spans="1:19" x14ac:dyDescent="0.3">
      <c r="A1069" t="s">
        <v>1117</v>
      </c>
      <c r="B1069" t="s">
        <v>24</v>
      </c>
      <c r="C1069" t="s">
        <v>32</v>
      </c>
      <c r="D1069" s="5">
        <v>19645</v>
      </c>
      <c r="E1069">
        <v>18001.79</v>
      </c>
      <c r="F1069" t="s">
        <v>33</v>
      </c>
      <c r="G1069">
        <v>282</v>
      </c>
      <c r="H1069" s="1">
        <f t="shared" si="16"/>
        <v>53417</v>
      </c>
      <c r="I1069" t="s">
        <v>15</v>
      </c>
      <c r="J1069" s="1">
        <v>44830</v>
      </c>
      <c r="K1069" t="s">
        <v>35</v>
      </c>
      <c r="L1069" s="3">
        <v>4.8399999999999999E-2</v>
      </c>
      <c r="M1069" t="s">
        <v>29</v>
      </c>
      <c r="N1069" t="s">
        <v>30</v>
      </c>
      <c r="O1069">
        <v>0</v>
      </c>
      <c r="P1069" s="1">
        <v>46022</v>
      </c>
      <c r="R1069" s="7"/>
      <c r="S1069" s="7"/>
    </row>
    <row r="1070" spans="1:19" x14ac:dyDescent="0.3">
      <c r="A1070" t="s">
        <v>1118</v>
      </c>
      <c r="B1070" t="s">
        <v>20</v>
      </c>
      <c r="C1070" t="s">
        <v>21</v>
      </c>
      <c r="D1070" s="5">
        <v>857025</v>
      </c>
      <c r="E1070">
        <v>850493.96</v>
      </c>
      <c r="F1070" t="s">
        <v>48</v>
      </c>
      <c r="G1070">
        <v>264</v>
      </c>
      <c r="H1070" s="1">
        <f t="shared" si="16"/>
        <v>53235</v>
      </c>
      <c r="I1070" t="s">
        <v>15</v>
      </c>
      <c r="J1070" s="1">
        <v>45175</v>
      </c>
      <c r="K1070" t="s">
        <v>35</v>
      </c>
      <c r="L1070" s="3">
        <v>6.7199999999999996E-2</v>
      </c>
      <c r="M1070" t="s">
        <v>29</v>
      </c>
      <c r="N1070" t="s">
        <v>30</v>
      </c>
      <c r="O1070">
        <v>0</v>
      </c>
      <c r="P1070" s="1">
        <v>46022</v>
      </c>
      <c r="R1070" s="7"/>
      <c r="S1070" s="7"/>
    </row>
    <row r="1071" spans="1:19" x14ac:dyDescent="0.3">
      <c r="A1071" t="s">
        <v>1119</v>
      </c>
      <c r="B1071" t="s">
        <v>37</v>
      </c>
      <c r="C1071" t="s">
        <v>74</v>
      </c>
      <c r="D1071" s="5">
        <v>395240770</v>
      </c>
      <c r="E1071">
        <v>113625338.5</v>
      </c>
      <c r="F1071" t="s">
        <v>33</v>
      </c>
      <c r="G1071">
        <v>54</v>
      </c>
      <c r="H1071" s="1">
        <f t="shared" si="16"/>
        <v>46843</v>
      </c>
      <c r="I1071" t="s">
        <v>15</v>
      </c>
      <c r="J1071" s="1">
        <v>45173</v>
      </c>
      <c r="K1071" t="s">
        <v>22</v>
      </c>
      <c r="L1071" s="3">
        <v>7.1900000000000006E-2</v>
      </c>
      <c r="M1071" t="s">
        <v>17</v>
      </c>
      <c r="N1071" t="s">
        <v>54</v>
      </c>
      <c r="O1071">
        <v>760201909.29999995</v>
      </c>
      <c r="P1071" s="1">
        <v>46022</v>
      </c>
      <c r="R1071" s="7"/>
      <c r="S1071" s="7"/>
    </row>
    <row r="1072" spans="1:19" x14ac:dyDescent="0.3">
      <c r="A1072" t="s">
        <v>1120</v>
      </c>
      <c r="B1072" t="s">
        <v>24</v>
      </c>
      <c r="C1072" t="s">
        <v>41</v>
      </c>
      <c r="D1072" s="5">
        <v>76100</v>
      </c>
      <c r="E1072">
        <v>31954.02</v>
      </c>
      <c r="F1072" t="s">
        <v>14</v>
      </c>
      <c r="G1072">
        <v>240</v>
      </c>
      <c r="H1072" s="1">
        <f t="shared" si="16"/>
        <v>48638</v>
      </c>
      <c r="I1072" t="s">
        <v>15</v>
      </c>
      <c r="J1072" s="1">
        <v>41311</v>
      </c>
      <c r="K1072" t="s">
        <v>22</v>
      </c>
      <c r="L1072" s="3">
        <v>4.7400000000000005E-2</v>
      </c>
      <c r="M1072" t="s">
        <v>17</v>
      </c>
      <c r="N1072" t="s">
        <v>42</v>
      </c>
      <c r="O1072">
        <v>93892.78</v>
      </c>
      <c r="P1072" s="1">
        <v>46022</v>
      </c>
      <c r="R1072" s="7"/>
      <c r="S1072" s="7"/>
    </row>
    <row r="1073" spans="1:19" x14ac:dyDescent="0.3">
      <c r="A1073" t="s">
        <v>1121</v>
      </c>
      <c r="B1073" t="s">
        <v>37</v>
      </c>
      <c r="C1073" t="s">
        <v>38</v>
      </c>
      <c r="D1073" s="5">
        <v>198333969</v>
      </c>
      <c r="E1073">
        <v>139289376.5</v>
      </c>
      <c r="F1073" t="s">
        <v>14</v>
      </c>
      <c r="G1073">
        <v>300</v>
      </c>
      <c r="H1073" s="1">
        <f t="shared" si="16"/>
        <v>49399</v>
      </c>
      <c r="I1073" t="s">
        <v>15</v>
      </c>
      <c r="J1073" s="1">
        <v>40240</v>
      </c>
      <c r="K1073" t="s">
        <v>39</v>
      </c>
      <c r="L1073" s="3">
        <v>7.2700000000000001E-2</v>
      </c>
      <c r="M1073" t="s">
        <v>17</v>
      </c>
      <c r="N1073" t="s">
        <v>42</v>
      </c>
      <c r="O1073">
        <v>303054087.19999999</v>
      </c>
      <c r="P1073" s="1">
        <v>46022</v>
      </c>
      <c r="R1073" s="7"/>
      <c r="S1073" s="7"/>
    </row>
    <row r="1074" spans="1:19" x14ac:dyDescent="0.3">
      <c r="A1074" t="s">
        <v>1122</v>
      </c>
      <c r="B1074" t="s">
        <v>24</v>
      </c>
      <c r="C1074" t="s">
        <v>28</v>
      </c>
      <c r="D1074" s="5">
        <v>2234</v>
      </c>
      <c r="E1074">
        <v>1196.3900000000001</v>
      </c>
      <c r="F1074" t="s">
        <v>14</v>
      </c>
      <c r="G1074">
        <v>138</v>
      </c>
      <c r="H1074" s="1">
        <f t="shared" si="16"/>
        <v>46660</v>
      </c>
      <c r="I1074" t="s">
        <v>15</v>
      </c>
      <c r="J1074" s="1">
        <v>42458</v>
      </c>
      <c r="K1074" t="s">
        <v>35</v>
      </c>
      <c r="L1074" s="3">
        <v>3.1899999999999998E-2</v>
      </c>
      <c r="M1074" t="s">
        <v>29</v>
      </c>
      <c r="N1074" t="s">
        <v>30</v>
      </c>
      <c r="O1074">
        <v>0</v>
      </c>
      <c r="P1074" s="1">
        <v>46022</v>
      </c>
      <c r="R1074" s="7"/>
      <c r="S1074" s="7"/>
    </row>
    <row r="1075" spans="1:19" x14ac:dyDescent="0.3">
      <c r="A1075" t="s">
        <v>1123</v>
      </c>
      <c r="B1075" t="s">
        <v>20</v>
      </c>
      <c r="C1075" t="s">
        <v>47</v>
      </c>
      <c r="D1075" s="5">
        <v>4203037</v>
      </c>
      <c r="E1075">
        <v>2002959.61</v>
      </c>
      <c r="F1075" t="s">
        <v>33</v>
      </c>
      <c r="G1075">
        <v>300</v>
      </c>
      <c r="H1075" s="1">
        <f t="shared" si="16"/>
        <v>53447</v>
      </c>
      <c r="I1075" t="s">
        <v>15</v>
      </c>
      <c r="J1075" s="1">
        <v>44299</v>
      </c>
      <c r="K1075" t="s">
        <v>39</v>
      </c>
      <c r="L1075" s="3">
        <v>6.1399999999999996E-2</v>
      </c>
      <c r="M1075" t="s">
        <v>29</v>
      </c>
      <c r="N1075" t="s">
        <v>30</v>
      </c>
      <c r="O1075">
        <v>0</v>
      </c>
      <c r="P1075" s="1">
        <v>46022</v>
      </c>
      <c r="R1075" s="7"/>
      <c r="S1075" s="7"/>
    </row>
    <row r="1076" spans="1:19" x14ac:dyDescent="0.3">
      <c r="A1076" t="s">
        <v>1124</v>
      </c>
      <c r="B1076" t="s">
        <v>24</v>
      </c>
      <c r="C1076" t="s">
        <v>28</v>
      </c>
      <c r="D1076" s="5">
        <v>1559</v>
      </c>
      <c r="E1076">
        <v>658.15</v>
      </c>
      <c r="F1076" t="s">
        <v>14</v>
      </c>
      <c r="G1076">
        <v>78</v>
      </c>
      <c r="H1076" s="1">
        <f t="shared" si="16"/>
        <v>47299</v>
      </c>
      <c r="I1076" t="s">
        <v>15</v>
      </c>
      <c r="J1076" s="1">
        <v>44918</v>
      </c>
      <c r="K1076" t="s">
        <v>22</v>
      </c>
      <c r="L1076" s="3">
        <v>5.2900000000000003E-2</v>
      </c>
      <c r="M1076" t="s">
        <v>29</v>
      </c>
      <c r="N1076" t="s">
        <v>30</v>
      </c>
      <c r="O1076">
        <v>0</v>
      </c>
      <c r="P1076" s="1">
        <v>46022</v>
      </c>
      <c r="R1076" s="7"/>
      <c r="S1076" s="7"/>
    </row>
    <row r="1077" spans="1:19" x14ac:dyDescent="0.3">
      <c r="A1077" t="s">
        <v>1125</v>
      </c>
      <c r="B1077" t="s">
        <v>12</v>
      </c>
      <c r="C1077" t="s">
        <v>13</v>
      </c>
      <c r="D1077" s="5">
        <v>35481289</v>
      </c>
      <c r="E1077">
        <v>22509421.010000002</v>
      </c>
      <c r="F1077" t="s">
        <v>33</v>
      </c>
      <c r="G1077">
        <v>360</v>
      </c>
      <c r="H1077" s="1">
        <f t="shared" si="16"/>
        <v>53661</v>
      </c>
      <c r="I1077" t="s">
        <v>15</v>
      </c>
      <c r="J1077" s="1">
        <v>42696</v>
      </c>
      <c r="K1077" t="s">
        <v>81</v>
      </c>
      <c r="L1077" s="3">
        <v>2.1299999999999999E-2</v>
      </c>
      <c r="M1077" t="s">
        <v>17</v>
      </c>
      <c r="N1077" t="s">
        <v>42</v>
      </c>
      <c r="O1077">
        <v>52740637.689999998</v>
      </c>
      <c r="P1077" s="1">
        <v>46022</v>
      </c>
      <c r="R1077" s="7"/>
      <c r="S1077" s="7"/>
    </row>
    <row r="1078" spans="1:19" x14ac:dyDescent="0.3">
      <c r="A1078" t="s">
        <v>1126</v>
      </c>
      <c r="B1078" t="s">
        <v>24</v>
      </c>
      <c r="C1078" t="s">
        <v>25</v>
      </c>
      <c r="D1078" s="5">
        <v>973231</v>
      </c>
      <c r="E1078">
        <v>601490.18000000005</v>
      </c>
      <c r="F1078" t="s">
        <v>14</v>
      </c>
      <c r="G1078">
        <v>354</v>
      </c>
      <c r="H1078" s="1">
        <f t="shared" si="16"/>
        <v>55487</v>
      </c>
      <c r="I1078" t="s">
        <v>15</v>
      </c>
      <c r="J1078" s="1">
        <v>44708</v>
      </c>
      <c r="K1078" t="s">
        <v>35</v>
      </c>
      <c r="L1078" s="3">
        <v>4.4999999999999998E-2</v>
      </c>
      <c r="M1078" t="s">
        <v>17</v>
      </c>
      <c r="N1078" t="s">
        <v>26</v>
      </c>
      <c r="O1078">
        <v>1209761.47</v>
      </c>
      <c r="P1078" s="1">
        <v>46022</v>
      </c>
      <c r="R1078" s="7"/>
      <c r="S1078" s="7"/>
    </row>
    <row r="1079" spans="1:19" x14ac:dyDescent="0.3">
      <c r="A1079" t="s">
        <v>1127</v>
      </c>
      <c r="B1079" t="s">
        <v>24</v>
      </c>
      <c r="C1079" t="s">
        <v>32</v>
      </c>
      <c r="D1079" s="5">
        <v>22445</v>
      </c>
      <c r="E1079">
        <v>5506.13</v>
      </c>
      <c r="F1079" t="s">
        <v>33</v>
      </c>
      <c r="G1079">
        <v>192</v>
      </c>
      <c r="H1079" s="1">
        <f t="shared" si="16"/>
        <v>46538</v>
      </c>
      <c r="I1079" t="s">
        <v>15</v>
      </c>
      <c r="J1079" s="1">
        <v>40672</v>
      </c>
      <c r="K1079" t="s">
        <v>16</v>
      </c>
      <c r="L1079" s="3">
        <v>0.1047</v>
      </c>
      <c r="M1079" t="s">
        <v>29</v>
      </c>
      <c r="N1079" t="s">
        <v>30</v>
      </c>
      <c r="O1079">
        <v>0</v>
      </c>
      <c r="P1079" s="1">
        <v>46022</v>
      </c>
      <c r="R1079" s="7"/>
      <c r="S1079" s="7"/>
    </row>
    <row r="1080" spans="1:19" x14ac:dyDescent="0.3">
      <c r="A1080" t="s">
        <v>1128</v>
      </c>
      <c r="B1080" t="s">
        <v>24</v>
      </c>
      <c r="C1080" t="s">
        <v>25</v>
      </c>
      <c r="D1080" s="5">
        <v>311476</v>
      </c>
      <c r="E1080">
        <v>163389.71</v>
      </c>
      <c r="F1080" t="s">
        <v>14</v>
      </c>
      <c r="G1080">
        <v>300</v>
      </c>
      <c r="H1080" s="1">
        <f t="shared" si="16"/>
        <v>54666</v>
      </c>
      <c r="I1080" t="s">
        <v>15</v>
      </c>
      <c r="J1080" s="1">
        <v>45524</v>
      </c>
      <c r="K1080" t="s">
        <v>16</v>
      </c>
      <c r="L1080" s="3">
        <v>0.1105</v>
      </c>
      <c r="M1080" t="s">
        <v>17</v>
      </c>
      <c r="N1080" t="s">
        <v>26</v>
      </c>
      <c r="O1080">
        <v>420531.39</v>
      </c>
      <c r="P1080" s="1">
        <v>46022</v>
      </c>
      <c r="R1080" s="7"/>
      <c r="S1080" s="7"/>
    </row>
    <row r="1081" spans="1:19" x14ac:dyDescent="0.3">
      <c r="A1081" t="s">
        <v>1129</v>
      </c>
      <c r="B1081" t="s">
        <v>12</v>
      </c>
      <c r="C1081" t="s">
        <v>63</v>
      </c>
      <c r="D1081" s="5">
        <v>35538679</v>
      </c>
      <c r="E1081">
        <v>21256558.399999999</v>
      </c>
      <c r="F1081" t="s">
        <v>14</v>
      </c>
      <c r="G1081">
        <v>90</v>
      </c>
      <c r="H1081" s="1">
        <f t="shared" si="16"/>
        <v>45138</v>
      </c>
      <c r="I1081" t="s">
        <v>15</v>
      </c>
      <c r="J1081" s="1">
        <v>42398</v>
      </c>
      <c r="K1081" t="s">
        <v>35</v>
      </c>
      <c r="L1081" s="3">
        <v>3.1899999999999998E-2</v>
      </c>
      <c r="M1081" t="s">
        <v>29</v>
      </c>
      <c r="N1081" t="s">
        <v>30</v>
      </c>
      <c r="O1081">
        <v>0</v>
      </c>
      <c r="P1081" s="1">
        <v>46022</v>
      </c>
      <c r="R1081" s="7"/>
      <c r="S1081" s="7"/>
    </row>
    <row r="1082" spans="1:19" x14ac:dyDescent="0.3">
      <c r="A1082" t="s">
        <v>1130</v>
      </c>
      <c r="B1082" t="s">
        <v>24</v>
      </c>
      <c r="C1082" t="s">
        <v>41</v>
      </c>
      <c r="D1082" s="5">
        <v>83542</v>
      </c>
      <c r="E1082">
        <v>51232.53</v>
      </c>
      <c r="F1082" t="s">
        <v>14</v>
      </c>
      <c r="G1082">
        <v>216</v>
      </c>
      <c r="H1082" s="1">
        <f t="shared" si="16"/>
        <v>48365</v>
      </c>
      <c r="I1082" t="s">
        <v>15</v>
      </c>
      <c r="J1082" s="1">
        <v>41775</v>
      </c>
      <c r="K1082" t="s">
        <v>39</v>
      </c>
      <c r="L1082" s="3">
        <v>6.6600000000000006E-2</v>
      </c>
      <c r="M1082" t="s">
        <v>17</v>
      </c>
      <c r="N1082" t="s">
        <v>42</v>
      </c>
      <c r="O1082">
        <v>86268.03</v>
      </c>
      <c r="P1082" s="1">
        <v>46022</v>
      </c>
      <c r="R1082" s="7"/>
      <c r="S1082" s="7"/>
    </row>
    <row r="1083" spans="1:19" x14ac:dyDescent="0.3">
      <c r="A1083" t="s">
        <v>1131</v>
      </c>
      <c r="B1083" t="s">
        <v>24</v>
      </c>
      <c r="C1083" t="s">
        <v>32</v>
      </c>
      <c r="D1083" s="5">
        <v>27775</v>
      </c>
      <c r="E1083">
        <v>8029.68</v>
      </c>
      <c r="F1083" t="s">
        <v>33</v>
      </c>
      <c r="G1083">
        <v>294</v>
      </c>
      <c r="H1083" s="1">
        <f t="shared" si="16"/>
        <v>53327</v>
      </c>
      <c r="I1083" t="s">
        <v>15</v>
      </c>
      <c r="J1083" s="1">
        <v>44369</v>
      </c>
      <c r="K1083" t="s">
        <v>39</v>
      </c>
      <c r="L1083" s="3">
        <v>6.0999999999999999E-2</v>
      </c>
      <c r="M1083" t="s">
        <v>29</v>
      </c>
      <c r="N1083" t="s">
        <v>30</v>
      </c>
      <c r="O1083">
        <v>0</v>
      </c>
      <c r="P1083" s="1">
        <v>46022</v>
      </c>
      <c r="R1083" s="7"/>
      <c r="S1083" s="7"/>
    </row>
    <row r="1084" spans="1:19" x14ac:dyDescent="0.3">
      <c r="A1084" t="s">
        <v>1132</v>
      </c>
      <c r="B1084" t="s">
        <v>24</v>
      </c>
      <c r="C1084" t="s">
        <v>41</v>
      </c>
      <c r="D1084" s="5">
        <v>97033</v>
      </c>
      <c r="E1084" s="4">
        <v>74525.77</v>
      </c>
      <c r="F1084" t="s">
        <v>14</v>
      </c>
      <c r="G1084">
        <v>60</v>
      </c>
      <c r="H1084" s="1">
        <f t="shared" si="16"/>
        <v>47391</v>
      </c>
      <c r="I1084" t="s">
        <v>15</v>
      </c>
      <c r="J1084" s="1">
        <v>45538</v>
      </c>
      <c r="K1084" t="s">
        <v>101</v>
      </c>
      <c r="L1084" s="3">
        <v>0.16109999999999999</v>
      </c>
      <c r="M1084" t="s">
        <v>17</v>
      </c>
      <c r="N1084" t="s">
        <v>42</v>
      </c>
      <c r="O1084">
        <v>120978.02</v>
      </c>
      <c r="P1084" s="1">
        <v>46022</v>
      </c>
      <c r="R1084" s="7"/>
      <c r="S1084" s="7"/>
    </row>
    <row r="1085" spans="1:19" x14ac:dyDescent="0.3">
      <c r="A1085" t="s">
        <v>1133</v>
      </c>
      <c r="B1085" t="s">
        <v>24</v>
      </c>
      <c r="C1085" t="s">
        <v>32</v>
      </c>
      <c r="D1085" s="5">
        <v>3532</v>
      </c>
      <c r="E1085">
        <v>433.27</v>
      </c>
      <c r="F1085" t="s">
        <v>33</v>
      </c>
      <c r="G1085">
        <v>132</v>
      </c>
      <c r="H1085" s="1">
        <f t="shared" si="16"/>
        <v>47118</v>
      </c>
      <c r="I1085" t="s">
        <v>15</v>
      </c>
      <c r="J1085" s="1">
        <v>43076</v>
      </c>
      <c r="K1085" t="s">
        <v>22</v>
      </c>
      <c r="L1085" s="3">
        <v>4.9599999999999998E-2</v>
      </c>
      <c r="M1085" t="s">
        <v>29</v>
      </c>
      <c r="N1085" t="s">
        <v>30</v>
      </c>
      <c r="O1085">
        <v>0</v>
      </c>
      <c r="P1085" s="1">
        <v>46022</v>
      </c>
      <c r="R1085" s="7"/>
      <c r="S1085" s="7"/>
    </row>
    <row r="1086" spans="1:19" x14ac:dyDescent="0.3">
      <c r="A1086" t="s">
        <v>1134</v>
      </c>
      <c r="B1086" t="s">
        <v>37</v>
      </c>
      <c r="C1086" t="s">
        <v>74</v>
      </c>
      <c r="D1086" s="5">
        <v>257349843</v>
      </c>
      <c r="E1086">
        <v>107919314.5</v>
      </c>
      <c r="F1086" t="s">
        <v>48</v>
      </c>
      <c r="G1086">
        <v>96</v>
      </c>
      <c r="H1086" s="1">
        <f t="shared" si="16"/>
        <v>45626</v>
      </c>
      <c r="I1086" t="s">
        <v>15</v>
      </c>
      <c r="J1086" s="1">
        <v>42699</v>
      </c>
      <c r="K1086" t="s">
        <v>39</v>
      </c>
      <c r="L1086" s="3">
        <v>6.0899999999999996E-2</v>
      </c>
      <c r="M1086" t="s">
        <v>17</v>
      </c>
      <c r="N1086" t="s">
        <v>18</v>
      </c>
      <c r="O1086">
        <v>330532929</v>
      </c>
      <c r="P1086" s="1">
        <v>46022</v>
      </c>
      <c r="R1086" s="7"/>
      <c r="S1086" s="7"/>
    </row>
    <row r="1087" spans="1:19" x14ac:dyDescent="0.3">
      <c r="A1087" t="s">
        <v>1135</v>
      </c>
      <c r="B1087" t="s">
        <v>12</v>
      </c>
      <c r="C1087" t="s">
        <v>13</v>
      </c>
      <c r="D1087" s="5">
        <v>36204243</v>
      </c>
      <c r="E1087">
        <v>29042732.120000001</v>
      </c>
      <c r="F1087" t="s">
        <v>14</v>
      </c>
      <c r="G1087">
        <v>246</v>
      </c>
      <c r="H1087" s="1">
        <f t="shared" si="16"/>
        <v>48518</v>
      </c>
      <c r="I1087" t="s">
        <v>15</v>
      </c>
      <c r="J1087" s="1">
        <v>41002</v>
      </c>
      <c r="K1087" t="s">
        <v>56</v>
      </c>
      <c r="L1087" s="3">
        <v>2.5000000000000001E-2</v>
      </c>
      <c r="M1087" t="s">
        <v>17</v>
      </c>
      <c r="N1087" t="s">
        <v>54</v>
      </c>
      <c r="O1087">
        <v>45704696.700000003</v>
      </c>
      <c r="P1087" s="1">
        <v>46022</v>
      </c>
      <c r="R1087" s="7"/>
      <c r="S1087" s="7"/>
    </row>
    <row r="1088" spans="1:19" x14ac:dyDescent="0.3">
      <c r="A1088" t="s">
        <v>1136</v>
      </c>
      <c r="B1088" t="s">
        <v>37</v>
      </c>
      <c r="C1088" t="s">
        <v>144</v>
      </c>
      <c r="D1088" s="5">
        <v>432693831</v>
      </c>
      <c r="E1088">
        <v>262863072.5</v>
      </c>
      <c r="F1088" t="s">
        <v>33</v>
      </c>
      <c r="G1088">
        <v>120</v>
      </c>
      <c r="H1088" s="1">
        <f t="shared" si="16"/>
        <v>48121</v>
      </c>
      <c r="I1088" t="s">
        <v>15</v>
      </c>
      <c r="J1088" s="1">
        <v>44440</v>
      </c>
      <c r="K1088" t="s">
        <v>22</v>
      </c>
      <c r="L1088" s="3">
        <v>6.0400000000000002E-2</v>
      </c>
      <c r="M1088" t="s">
        <v>17</v>
      </c>
      <c r="N1088" t="s">
        <v>54</v>
      </c>
      <c r="O1088">
        <v>637650168.29999995</v>
      </c>
      <c r="P1088" s="1">
        <v>46022</v>
      </c>
      <c r="R1088" s="7"/>
      <c r="S1088" s="7"/>
    </row>
    <row r="1089" spans="1:19" x14ac:dyDescent="0.3">
      <c r="A1089" t="s">
        <v>1137</v>
      </c>
      <c r="B1089" t="s">
        <v>20</v>
      </c>
      <c r="C1089" t="s">
        <v>21</v>
      </c>
      <c r="D1089" s="5">
        <v>937315</v>
      </c>
      <c r="E1089" s="4">
        <v>314043.90999999997</v>
      </c>
      <c r="F1089" t="s">
        <v>33</v>
      </c>
      <c r="G1089">
        <v>144</v>
      </c>
      <c r="H1089" s="1">
        <f t="shared" si="16"/>
        <v>49368</v>
      </c>
      <c r="I1089" t="s">
        <v>15</v>
      </c>
      <c r="J1089" s="1">
        <v>44958</v>
      </c>
      <c r="K1089" t="s">
        <v>101</v>
      </c>
      <c r="L1089" s="3">
        <v>0.16519999999999999</v>
      </c>
      <c r="M1089" t="s">
        <v>17</v>
      </c>
      <c r="N1089" t="s">
        <v>54</v>
      </c>
      <c r="O1089">
        <v>1357779.61</v>
      </c>
      <c r="P1089" s="1">
        <v>46022</v>
      </c>
      <c r="R1089" s="7"/>
      <c r="S1089" s="7"/>
    </row>
    <row r="1090" spans="1:19" x14ac:dyDescent="0.3">
      <c r="A1090" t="s">
        <v>1138</v>
      </c>
      <c r="B1090" t="s">
        <v>24</v>
      </c>
      <c r="C1090" t="s">
        <v>28</v>
      </c>
      <c r="D1090" s="5">
        <v>40200</v>
      </c>
      <c r="E1090">
        <v>29163.53</v>
      </c>
      <c r="F1090" t="s">
        <v>48</v>
      </c>
      <c r="G1090">
        <v>108</v>
      </c>
      <c r="H1090" s="1">
        <f t="shared" ref="H1090:H1153" si="17">EOMONTH(J1090,G1090)</f>
        <v>46203</v>
      </c>
      <c r="I1090" t="s">
        <v>15</v>
      </c>
      <c r="J1090" s="1">
        <v>42913</v>
      </c>
      <c r="K1090" t="s">
        <v>22</v>
      </c>
      <c r="L1090" s="3">
        <v>4.7400000000000005E-2</v>
      </c>
      <c r="M1090" t="s">
        <v>29</v>
      </c>
      <c r="N1090" t="s">
        <v>30</v>
      </c>
      <c r="O1090">
        <v>0</v>
      </c>
      <c r="P1090" s="1">
        <v>46022</v>
      </c>
      <c r="R1090" s="7"/>
      <c r="S1090" s="7"/>
    </row>
    <row r="1091" spans="1:19" x14ac:dyDescent="0.3">
      <c r="A1091" t="s">
        <v>1139</v>
      </c>
      <c r="B1091" t="s">
        <v>37</v>
      </c>
      <c r="C1091" t="s">
        <v>74</v>
      </c>
      <c r="D1091" s="5">
        <v>280826467</v>
      </c>
      <c r="E1091">
        <v>171487201.59999999</v>
      </c>
      <c r="F1091" t="s">
        <v>33</v>
      </c>
      <c r="G1091">
        <v>294</v>
      </c>
      <c r="H1091" s="1">
        <f t="shared" si="17"/>
        <v>54239</v>
      </c>
      <c r="I1091" t="s">
        <v>15</v>
      </c>
      <c r="J1091" s="1">
        <v>45268</v>
      </c>
      <c r="K1091" t="s">
        <v>22</v>
      </c>
      <c r="L1091" s="3">
        <v>7.0199999999999999E-2</v>
      </c>
      <c r="M1091" t="s">
        <v>17</v>
      </c>
      <c r="N1091" t="s">
        <v>42</v>
      </c>
      <c r="O1091">
        <v>483484826.80000001</v>
      </c>
      <c r="P1091" s="1">
        <v>46022</v>
      </c>
      <c r="R1091" s="7"/>
      <c r="S1091" s="7"/>
    </row>
    <row r="1092" spans="1:19" x14ac:dyDescent="0.3">
      <c r="A1092" t="s">
        <v>1140</v>
      </c>
      <c r="B1092" t="s">
        <v>37</v>
      </c>
      <c r="C1092" t="s">
        <v>78</v>
      </c>
      <c r="D1092" s="5">
        <v>204311304</v>
      </c>
      <c r="E1092">
        <v>166844543.69999999</v>
      </c>
      <c r="F1092" t="s">
        <v>14</v>
      </c>
      <c r="G1092">
        <v>108</v>
      </c>
      <c r="H1092" s="1">
        <f t="shared" si="17"/>
        <v>46446</v>
      </c>
      <c r="I1092" t="s">
        <v>15</v>
      </c>
      <c r="J1092" s="1">
        <v>43152</v>
      </c>
      <c r="K1092" t="s">
        <v>35</v>
      </c>
      <c r="L1092" s="3">
        <v>4.3799999999999999E-2</v>
      </c>
      <c r="M1092" t="s">
        <v>17</v>
      </c>
      <c r="N1092" t="s">
        <v>18</v>
      </c>
      <c r="O1092">
        <v>329442072.5</v>
      </c>
      <c r="P1092" s="1">
        <v>46022</v>
      </c>
      <c r="R1092" s="7"/>
      <c r="S1092" s="7"/>
    </row>
    <row r="1093" spans="1:19" x14ac:dyDescent="0.3">
      <c r="A1093" t="s">
        <v>1141</v>
      </c>
      <c r="B1093" t="s">
        <v>24</v>
      </c>
      <c r="C1093" t="s">
        <v>41</v>
      </c>
      <c r="D1093" s="5">
        <v>21854</v>
      </c>
      <c r="E1093">
        <v>16642.580000000002</v>
      </c>
      <c r="F1093" t="s">
        <v>14</v>
      </c>
      <c r="G1093">
        <v>60</v>
      </c>
      <c r="H1093" s="1">
        <f t="shared" si="17"/>
        <v>46234</v>
      </c>
      <c r="I1093" t="s">
        <v>15</v>
      </c>
      <c r="J1093" s="1">
        <v>44407</v>
      </c>
      <c r="K1093" t="s">
        <v>39</v>
      </c>
      <c r="L1093" s="3">
        <v>5.9000000000000004E-2</v>
      </c>
      <c r="M1093" t="s">
        <v>17</v>
      </c>
      <c r="N1093" t="s">
        <v>42</v>
      </c>
      <c r="O1093">
        <v>23406.86</v>
      </c>
      <c r="P1093" s="1">
        <v>46022</v>
      </c>
      <c r="R1093" s="7"/>
      <c r="S1093" s="7"/>
    </row>
    <row r="1094" spans="1:19" x14ac:dyDescent="0.3">
      <c r="A1094" t="s">
        <v>1142</v>
      </c>
      <c r="B1094" t="s">
        <v>37</v>
      </c>
      <c r="C1094" t="s">
        <v>78</v>
      </c>
      <c r="D1094" s="5">
        <v>433994922</v>
      </c>
      <c r="E1094">
        <v>281704858.19999999</v>
      </c>
      <c r="F1094" t="s">
        <v>14</v>
      </c>
      <c r="G1094">
        <v>120</v>
      </c>
      <c r="H1094" s="1">
        <f t="shared" si="17"/>
        <v>47483</v>
      </c>
      <c r="I1094" t="s">
        <v>15</v>
      </c>
      <c r="J1094" s="1">
        <v>43812</v>
      </c>
      <c r="K1094" t="s">
        <v>39</v>
      </c>
      <c r="L1094" s="3">
        <v>6.4199999999999993E-2</v>
      </c>
      <c r="M1094" t="s">
        <v>29</v>
      </c>
      <c r="N1094" t="s">
        <v>30</v>
      </c>
      <c r="O1094">
        <v>0</v>
      </c>
      <c r="P1094" s="1">
        <v>46022</v>
      </c>
      <c r="R1094" s="7"/>
      <c r="S1094" s="7"/>
    </row>
    <row r="1095" spans="1:19" x14ac:dyDescent="0.3">
      <c r="A1095" t="s">
        <v>1143</v>
      </c>
      <c r="B1095" t="s">
        <v>24</v>
      </c>
      <c r="C1095" t="s">
        <v>25</v>
      </c>
      <c r="D1095" s="5">
        <v>241546</v>
      </c>
      <c r="E1095">
        <v>130280.17</v>
      </c>
      <c r="F1095" t="s">
        <v>14</v>
      </c>
      <c r="G1095">
        <v>156</v>
      </c>
      <c r="H1095" s="1">
        <f t="shared" si="17"/>
        <v>49765</v>
      </c>
      <c r="I1095" t="s">
        <v>15</v>
      </c>
      <c r="J1095" s="1">
        <v>44992</v>
      </c>
      <c r="K1095" t="s">
        <v>22</v>
      </c>
      <c r="L1095" s="3">
        <v>7.1300000000000002E-2</v>
      </c>
      <c r="M1095" t="s">
        <v>17</v>
      </c>
      <c r="N1095" t="s">
        <v>26</v>
      </c>
      <c r="O1095">
        <v>323092.56</v>
      </c>
      <c r="P1095" s="1">
        <v>46022</v>
      </c>
      <c r="R1095" s="7"/>
      <c r="S1095" s="7"/>
    </row>
    <row r="1096" spans="1:19" x14ac:dyDescent="0.3">
      <c r="A1096" t="s">
        <v>1144</v>
      </c>
      <c r="B1096" t="s">
        <v>12</v>
      </c>
      <c r="C1096" t="s">
        <v>13</v>
      </c>
      <c r="D1096" s="5">
        <v>16179605</v>
      </c>
      <c r="E1096" s="4">
        <v>3557311.29</v>
      </c>
      <c r="F1096" t="s">
        <v>48</v>
      </c>
      <c r="G1096">
        <v>60</v>
      </c>
      <c r="H1096" s="1">
        <f t="shared" si="17"/>
        <v>47149</v>
      </c>
      <c r="I1096" t="s">
        <v>15</v>
      </c>
      <c r="J1096" s="1">
        <v>45315</v>
      </c>
      <c r="K1096" t="s">
        <v>35</v>
      </c>
      <c r="L1096" s="3">
        <v>0.1638</v>
      </c>
      <c r="M1096" t="s">
        <v>17</v>
      </c>
      <c r="N1096" t="s">
        <v>54</v>
      </c>
      <c r="O1096">
        <v>25830133.780000001</v>
      </c>
      <c r="P1096" s="1">
        <v>46022</v>
      </c>
      <c r="R1096" s="7"/>
      <c r="S1096" s="7"/>
    </row>
    <row r="1097" spans="1:19" x14ac:dyDescent="0.3">
      <c r="A1097" t="s">
        <v>1145</v>
      </c>
      <c r="B1097" t="s">
        <v>20</v>
      </c>
      <c r="C1097" t="s">
        <v>51</v>
      </c>
      <c r="D1097" s="5">
        <v>1485725</v>
      </c>
      <c r="E1097">
        <v>498014.73</v>
      </c>
      <c r="F1097" t="s">
        <v>33</v>
      </c>
      <c r="G1097">
        <v>360</v>
      </c>
      <c r="H1097" s="1">
        <f t="shared" si="17"/>
        <v>53052</v>
      </c>
      <c r="I1097" t="s">
        <v>15</v>
      </c>
      <c r="J1097" s="1">
        <v>42088</v>
      </c>
      <c r="K1097" t="s">
        <v>56</v>
      </c>
      <c r="L1097" s="3">
        <v>3.27E-2</v>
      </c>
      <c r="M1097" t="s">
        <v>17</v>
      </c>
      <c r="N1097" t="s">
        <v>26</v>
      </c>
      <c r="O1097">
        <v>1769054.78</v>
      </c>
      <c r="P1097" s="1">
        <v>46022</v>
      </c>
      <c r="R1097" s="7"/>
      <c r="S1097" s="7"/>
    </row>
    <row r="1098" spans="1:19" x14ac:dyDescent="0.3">
      <c r="A1098" t="s">
        <v>1146</v>
      </c>
      <c r="B1098" t="s">
        <v>24</v>
      </c>
      <c r="C1098" t="s">
        <v>28</v>
      </c>
      <c r="D1098" s="5">
        <v>43699</v>
      </c>
      <c r="E1098">
        <v>20852.84</v>
      </c>
      <c r="F1098" t="s">
        <v>48</v>
      </c>
      <c r="G1098">
        <v>330</v>
      </c>
      <c r="H1098" s="1">
        <f t="shared" si="17"/>
        <v>54757</v>
      </c>
      <c r="I1098" t="s">
        <v>15</v>
      </c>
      <c r="J1098" s="1">
        <v>44686</v>
      </c>
      <c r="K1098" t="s">
        <v>22</v>
      </c>
      <c r="L1098" s="3">
        <v>5.6799999999999996E-2</v>
      </c>
      <c r="M1098" t="s">
        <v>29</v>
      </c>
      <c r="N1098" t="s">
        <v>30</v>
      </c>
      <c r="O1098">
        <v>0</v>
      </c>
      <c r="P1098" s="1">
        <v>46022</v>
      </c>
      <c r="R1098" s="7"/>
      <c r="S1098" s="7"/>
    </row>
    <row r="1099" spans="1:19" x14ac:dyDescent="0.3">
      <c r="A1099" t="s">
        <v>1147</v>
      </c>
      <c r="B1099" t="s">
        <v>24</v>
      </c>
      <c r="C1099" t="s">
        <v>32</v>
      </c>
      <c r="D1099" s="5">
        <v>33962</v>
      </c>
      <c r="E1099">
        <v>21714.55</v>
      </c>
      <c r="F1099" t="s">
        <v>33</v>
      </c>
      <c r="G1099">
        <v>96</v>
      </c>
      <c r="H1099" s="1">
        <f t="shared" si="17"/>
        <v>46234</v>
      </c>
      <c r="I1099" t="s">
        <v>15</v>
      </c>
      <c r="J1099" s="1">
        <v>43284</v>
      </c>
      <c r="K1099" t="s">
        <v>16</v>
      </c>
      <c r="L1099" s="3">
        <v>9.9299999999999999E-2</v>
      </c>
      <c r="M1099" t="s">
        <v>29</v>
      </c>
      <c r="N1099" t="s">
        <v>30</v>
      </c>
      <c r="O1099">
        <v>0</v>
      </c>
      <c r="P1099" s="1">
        <v>46022</v>
      </c>
      <c r="R1099" s="7"/>
      <c r="S1099" s="7"/>
    </row>
    <row r="1100" spans="1:19" x14ac:dyDescent="0.3">
      <c r="A1100" t="s">
        <v>1148</v>
      </c>
      <c r="B1100" t="s">
        <v>24</v>
      </c>
      <c r="C1100" t="s">
        <v>41</v>
      </c>
      <c r="D1100" s="5">
        <v>81701</v>
      </c>
      <c r="E1100">
        <v>45943.69</v>
      </c>
      <c r="F1100" t="s">
        <v>14</v>
      </c>
      <c r="G1100">
        <v>210</v>
      </c>
      <c r="H1100" s="1">
        <f t="shared" si="17"/>
        <v>49460</v>
      </c>
      <c r="I1100" t="s">
        <v>15</v>
      </c>
      <c r="J1100" s="1">
        <v>43052</v>
      </c>
      <c r="K1100" t="s">
        <v>22</v>
      </c>
      <c r="L1100" s="3">
        <v>4.8899999999999999E-2</v>
      </c>
      <c r="M1100" t="s">
        <v>17</v>
      </c>
      <c r="N1100" t="s">
        <v>42</v>
      </c>
      <c r="O1100">
        <v>81978.740000000005</v>
      </c>
      <c r="P1100" s="1">
        <v>46022</v>
      </c>
      <c r="R1100" s="7"/>
      <c r="S1100" s="7"/>
    </row>
    <row r="1101" spans="1:19" x14ac:dyDescent="0.3">
      <c r="A1101" t="s">
        <v>1149</v>
      </c>
      <c r="B1101" t="s">
        <v>12</v>
      </c>
      <c r="C1101" t="s">
        <v>26</v>
      </c>
      <c r="D1101" s="5">
        <v>13272927</v>
      </c>
      <c r="E1101">
        <v>4769839.67</v>
      </c>
      <c r="F1101" t="s">
        <v>14</v>
      </c>
      <c r="G1101">
        <v>156</v>
      </c>
      <c r="H1101" s="1">
        <f t="shared" si="17"/>
        <v>46630</v>
      </c>
      <c r="I1101" t="s">
        <v>15</v>
      </c>
      <c r="J1101" s="1">
        <v>41862</v>
      </c>
      <c r="K1101" t="s">
        <v>22</v>
      </c>
      <c r="L1101" s="3">
        <v>4.7E-2</v>
      </c>
      <c r="M1101" t="s">
        <v>17</v>
      </c>
      <c r="N1101" t="s">
        <v>54</v>
      </c>
      <c r="O1101">
        <v>21582761.32</v>
      </c>
      <c r="P1101" s="1">
        <v>46022</v>
      </c>
      <c r="R1101" s="7"/>
      <c r="S1101" s="7"/>
    </row>
    <row r="1102" spans="1:19" x14ac:dyDescent="0.3">
      <c r="A1102" t="s">
        <v>1150</v>
      </c>
      <c r="B1102" t="s">
        <v>24</v>
      </c>
      <c r="C1102" t="s">
        <v>41</v>
      </c>
      <c r="D1102" s="5">
        <v>66239</v>
      </c>
      <c r="E1102">
        <v>7009.24</v>
      </c>
      <c r="F1102" t="s">
        <v>14</v>
      </c>
      <c r="G1102">
        <v>108</v>
      </c>
      <c r="H1102" s="1">
        <f t="shared" si="17"/>
        <v>48365</v>
      </c>
      <c r="I1102" t="s">
        <v>15</v>
      </c>
      <c r="J1102" s="1">
        <v>45061</v>
      </c>
      <c r="K1102" t="s">
        <v>22</v>
      </c>
      <c r="L1102" s="3">
        <v>7.2900000000000006E-2</v>
      </c>
      <c r="M1102" t="s">
        <v>17</v>
      </c>
      <c r="N1102" t="s">
        <v>42</v>
      </c>
      <c r="O1102">
        <v>66874.63</v>
      </c>
      <c r="P1102" s="1">
        <v>46022</v>
      </c>
      <c r="R1102" s="7"/>
      <c r="S1102" s="7"/>
    </row>
    <row r="1103" spans="1:19" x14ac:dyDescent="0.3">
      <c r="A1103" t="s">
        <v>1151</v>
      </c>
      <c r="B1103" t="s">
        <v>24</v>
      </c>
      <c r="C1103" t="s">
        <v>28</v>
      </c>
      <c r="D1103" s="5">
        <v>29016</v>
      </c>
      <c r="E1103">
        <v>15860.34</v>
      </c>
      <c r="F1103" t="s">
        <v>48</v>
      </c>
      <c r="G1103">
        <v>174</v>
      </c>
      <c r="H1103" s="1">
        <f t="shared" si="17"/>
        <v>47149</v>
      </c>
      <c r="I1103" t="s">
        <v>15</v>
      </c>
      <c r="J1103" s="1">
        <v>41822</v>
      </c>
      <c r="K1103" t="s">
        <v>39</v>
      </c>
      <c r="L1103" s="3">
        <v>6.6600000000000006E-2</v>
      </c>
      <c r="M1103" t="s">
        <v>29</v>
      </c>
      <c r="N1103" t="s">
        <v>30</v>
      </c>
      <c r="O1103">
        <v>0</v>
      </c>
      <c r="P1103" s="1">
        <v>46022</v>
      </c>
      <c r="R1103" s="7"/>
      <c r="S1103" s="7"/>
    </row>
    <row r="1104" spans="1:19" x14ac:dyDescent="0.3">
      <c r="A1104" t="s">
        <v>1152</v>
      </c>
      <c r="B1104" t="s">
        <v>24</v>
      </c>
      <c r="C1104" t="s">
        <v>41</v>
      </c>
      <c r="D1104" s="5">
        <v>84955</v>
      </c>
      <c r="E1104">
        <v>30334.22</v>
      </c>
      <c r="F1104" t="s">
        <v>14</v>
      </c>
      <c r="G1104">
        <v>138</v>
      </c>
      <c r="H1104" s="1">
        <f t="shared" si="17"/>
        <v>48182</v>
      </c>
      <c r="I1104" t="s">
        <v>15</v>
      </c>
      <c r="J1104" s="1">
        <v>43969</v>
      </c>
      <c r="K1104" t="s">
        <v>35</v>
      </c>
      <c r="L1104" s="3">
        <v>2.0499999999999997E-2</v>
      </c>
      <c r="M1104" t="s">
        <v>17</v>
      </c>
      <c r="N1104" t="s">
        <v>42</v>
      </c>
      <c r="O1104">
        <v>105537.08</v>
      </c>
      <c r="P1104" s="1">
        <v>46022</v>
      </c>
      <c r="R1104" s="7"/>
      <c r="S1104" s="7"/>
    </row>
    <row r="1105" spans="1:19" x14ac:dyDescent="0.3">
      <c r="A1105" t="s">
        <v>1153</v>
      </c>
      <c r="B1105" t="s">
        <v>24</v>
      </c>
      <c r="C1105" t="s">
        <v>41</v>
      </c>
      <c r="D1105" s="5">
        <v>91548</v>
      </c>
      <c r="E1105">
        <v>69681.41</v>
      </c>
      <c r="F1105" t="s">
        <v>14</v>
      </c>
      <c r="G1105">
        <v>318</v>
      </c>
      <c r="H1105" s="1">
        <f t="shared" si="17"/>
        <v>50283</v>
      </c>
      <c r="I1105" t="s">
        <v>15</v>
      </c>
      <c r="J1105" s="1">
        <v>40599</v>
      </c>
      <c r="K1105" t="s">
        <v>16</v>
      </c>
      <c r="L1105" s="3">
        <v>9.820000000000001E-2</v>
      </c>
      <c r="M1105" t="s">
        <v>17</v>
      </c>
      <c r="N1105" t="s">
        <v>42</v>
      </c>
      <c r="O1105">
        <v>104582.22</v>
      </c>
      <c r="P1105" s="1">
        <v>46022</v>
      </c>
      <c r="R1105" s="7"/>
      <c r="S1105" s="7"/>
    </row>
    <row r="1106" spans="1:19" x14ac:dyDescent="0.3">
      <c r="A1106" t="s">
        <v>1154</v>
      </c>
      <c r="B1106" t="s">
        <v>24</v>
      </c>
      <c r="C1106" t="s">
        <v>25</v>
      </c>
      <c r="D1106" s="5">
        <v>110941</v>
      </c>
      <c r="E1106">
        <v>13485.07</v>
      </c>
      <c r="F1106" t="s">
        <v>14</v>
      </c>
      <c r="G1106">
        <v>84</v>
      </c>
      <c r="H1106" s="1">
        <f t="shared" si="17"/>
        <v>47483</v>
      </c>
      <c r="I1106" t="s">
        <v>15</v>
      </c>
      <c r="J1106" s="1">
        <v>44916</v>
      </c>
      <c r="K1106" t="s">
        <v>39</v>
      </c>
      <c r="L1106" s="3">
        <v>7.4200000000000002E-2</v>
      </c>
      <c r="M1106" t="s">
        <v>17</v>
      </c>
      <c r="N1106" t="s">
        <v>26</v>
      </c>
      <c r="O1106">
        <v>132963.93</v>
      </c>
      <c r="P1106" s="1">
        <v>46022</v>
      </c>
      <c r="R1106" s="7"/>
      <c r="S1106" s="7"/>
    </row>
    <row r="1107" spans="1:19" x14ac:dyDescent="0.3">
      <c r="A1107" t="s">
        <v>1155</v>
      </c>
      <c r="B1107" t="s">
        <v>12</v>
      </c>
      <c r="C1107" t="s">
        <v>61</v>
      </c>
      <c r="D1107" s="5">
        <v>34026976</v>
      </c>
      <c r="E1107">
        <v>21312627.329999998</v>
      </c>
      <c r="F1107" t="s">
        <v>33</v>
      </c>
      <c r="G1107">
        <v>90</v>
      </c>
      <c r="H1107" s="1">
        <f t="shared" si="17"/>
        <v>45688</v>
      </c>
      <c r="I1107" t="s">
        <v>15</v>
      </c>
      <c r="J1107" s="1">
        <v>42923</v>
      </c>
      <c r="K1107" t="s">
        <v>35</v>
      </c>
      <c r="L1107" s="3">
        <v>3.8599999999999995E-2</v>
      </c>
      <c r="M1107" t="s">
        <v>29</v>
      </c>
      <c r="N1107" t="s">
        <v>30</v>
      </c>
      <c r="O1107">
        <v>0</v>
      </c>
      <c r="P1107" s="1">
        <v>46022</v>
      </c>
      <c r="R1107" s="7"/>
      <c r="S1107" s="7"/>
    </row>
    <row r="1108" spans="1:19" x14ac:dyDescent="0.3">
      <c r="A1108" t="s">
        <v>1156</v>
      </c>
      <c r="B1108" t="s">
        <v>20</v>
      </c>
      <c r="C1108" t="s">
        <v>47</v>
      </c>
      <c r="D1108" s="5">
        <v>306587</v>
      </c>
      <c r="E1108">
        <v>290438.28000000003</v>
      </c>
      <c r="F1108" t="s">
        <v>48</v>
      </c>
      <c r="G1108">
        <v>294</v>
      </c>
      <c r="H1108" s="1">
        <f t="shared" si="17"/>
        <v>50252</v>
      </c>
      <c r="I1108" t="s">
        <v>15</v>
      </c>
      <c r="J1108" s="1">
        <v>41292</v>
      </c>
      <c r="K1108" t="s">
        <v>39</v>
      </c>
      <c r="L1108" s="3">
        <v>7.2400000000000006E-2</v>
      </c>
      <c r="M1108" t="s">
        <v>29</v>
      </c>
      <c r="N1108" t="s">
        <v>30</v>
      </c>
      <c r="O1108">
        <v>0</v>
      </c>
      <c r="P1108" s="1">
        <v>46022</v>
      </c>
      <c r="R1108" s="7"/>
      <c r="S1108" s="7"/>
    </row>
    <row r="1109" spans="1:19" x14ac:dyDescent="0.3">
      <c r="A1109" t="s">
        <v>1157</v>
      </c>
      <c r="B1109" t="s">
        <v>24</v>
      </c>
      <c r="C1109" t="s">
        <v>32</v>
      </c>
      <c r="D1109" s="5">
        <v>27894</v>
      </c>
      <c r="E1109">
        <v>7167.89</v>
      </c>
      <c r="F1109" t="s">
        <v>33</v>
      </c>
      <c r="G1109">
        <v>198</v>
      </c>
      <c r="H1109" s="1">
        <f t="shared" si="17"/>
        <v>47422</v>
      </c>
      <c r="I1109" t="s">
        <v>15</v>
      </c>
      <c r="J1109" s="1">
        <v>41379</v>
      </c>
      <c r="K1109" t="s">
        <v>22</v>
      </c>
      <c r="L1109" s="3">
        <v>4.4999999999999998E-2</v>
      </c>
      <c r="M1109" t="s">
        <v>29</v>
      </c>
      <c r="N1109" t="s">
        <v>30</v>
      </c>
      <c r="O1109">
        <v>0</v>
      </c>
      <c r="P1109" s="1">
        <v>46022</v>
      </c>
      <c r="R1109" s="7"/>
      <c r="S1109" s="7"/>
    </row>
    <row r="1110" spans="1:19" x14ac:dyDescent="0.3">
      <c r="A1110" t="s">
        <v>1158</v>
      </c>
      <c r="B1110" t="s">
        <v>24</v>
      </c>
      <c r="C1110" t="s">
        <v>25</v>
      </c>
      <c r="D1110" s="5">
        <v>358869</v>
      </c>
      <c r="E1110">
        <v>188221.48</v>
      </c>
      <c r="F1110" t="s">
        <v>14</v>
      </c>
      <c r="G1110">
        <v>150</v>
      </c>
      <c r="H1110" s="1">
        <f t="shared" si="17"/>
        <v>47907</v>
      </c>
      <c r="I1110" t="s">
        <v>15</v>
      </c>
      <c r="J1110" s="1">
        <v>43328</v>
      </c>
      <c r="K1110" t="s">
        <v>22</v>
      </c>
      <c r="L1110" s="3">
        <v>5.5399999999999998E-2</v>
      </c>
      <c r="M1110" t="s">
        <v>17</v>
      </c>
      <c r="N1110" t="s">
        <v>26</v>
      </c>
      <c r="O1110">
        <v>481449.78</v>
      </c>
      <c r="P1110" s="1">
        <v>46022</v>
      </c>
      <c r="R1110" s="7"/>
      <c r="S1110" s="7"/>
    </row>
    <row r="1111" spans="1:19" x14ac:dyDescent="0.3">
      <c r="A1111" t="s">
        <v>1159</v>
      </c>
      <c r="B1111" t="s">
        <v>24</v>
      </c>
      <c r="C1111" t="s">
        <v>41</v>
      </c>
      <c r="D1111" s="5">
        <v>37610</v>
      </c>
      <c r="E1111">
        <v>6855.52</v>
      </c>
      <c r="F1111" t="s">
        <v>14</v>
      </c>
      <c r="G1111">
        <v>126</v>
      </c>
      <c r="H1111" s="1">
        <f t="shared" si="17"/>
        <v>48121</v>
      </c>
      <c r="I1111" t="s">
        <v>15</v>
      </c>
      <c r="J1111" s="1">
        <v>44271</v>
      </c>
      <c r="K1111" t="s">
        <v>39</v>
      </c>
      <c r="L1111" s="3">
        <v>6.2199999999999998E-2</v>
      </c>
      <c r="M1111" t="s">
        <v>17</v>
      </c>
      <c r="N1111" t="s">
        <v>42</v>
      </c>
      <c r="O1111">
        <v>40771.18</v>
      </c>
      <c r="P1111" s="1">
        <v>46022</v>
      </c>
      <c r="R1111" s="7"/>
      <c r="S1111" s="7"/>
    </row>
    <row r="1112" spans="1:19" x14ac:dyDescent="0.3">
      <c r="A1112" t="s">
        <v>1160</v>
      </c>
      <c r="B1112" t="s">
        <v>37</v>
      </c>
      <c r="C1112" t="s">
        <v>78</v>
      </c>
      <c r="D1112" s="5">
        <v>182949667</v>
      </c>
      <c r="E1112" s="4">
        <v>121316434.2</v>
      </c>
      <c r="F1112" t="s">
        <v>33</v>
      </c>
      <c r="G1112">
        <v>102</v>
      </c>
      <c r="H1112" s="1">
        <f t="shared" si="17"/>
        <v>45260</v>
      </c>
      <c r="I1112" t="s">
        <v>15</v>
      </c>
      <c r="J1112" s="1">
        <v>42129</v>
      </c>
      <c r="K1112" t="s">
        <v>56</v>
      </c>
      <c r="L1112" s="3">
        <v>0.1416</v>
      </c>
      <c r="M1112" t="s">
        <v>17</v>
      </c>
      <c r="N1112" t="s">
        <v>54</v>
      </c>
      <c r="O1112">
        <v>258465869.69999999</v>
      </c>
      <c r="P1112" s="1">
        <v>46022</v>
      </c>
      <c r="R1112" s="7"/>
      <c r="S1112" s="7"/>
    </row>
    <row r="1113" spans="1:19" x14ac:dyDescent="0.3">
      <c r="A1113" t="s">
        <v>1161</v>
      </c>
      <c r="B1113" t="s">
        <v>24</v>
      </c>
      <c r="C1113" t="s">
        <v>25</v>
      </c>
      <c r="D1113" s="5">
        <v>659163</v>
      </c>
      <c r="E1113">
        <v>392517.52</v>
      </c>
      <c r="F1113" t="s">
        <v>14</v>
      </c>
      <c r="G1113">
        <v>138</v>
      </c>
      <c r="H1113" s="1">
        <f t="shared" si="17"/>
        <v>46053</v>
      </c>
      <c r="I1113" t="s">
        <v>15</v>
      </c>
      <c r="J1113" s="1">
        <v>41844</v>
      </c>
      <c r="K1113" t="s">
        <v>35</v>
      </c>
      <c r="L1113" s="3">
        <v>3.7599999999999995E-2</v>
      </c>
      <c r="M1113" t="s">
        <v>17</v>
      </c>
      <c r="N1113" t="s">
        <v>26</v>
      </c>
      <c r="O1113">
        <v>901472.24</v>
      </c>
      <c r="P1113" s="1">
        <v>46022</v>
      </c>
      <c r="R1113" s="7"/>
      <c r="S1113" s="7"/>
    </row>
    <row r="1114" spans="1:19" x14ac:dyDescent="0.3">
      <c r="A1114" t="s">
        <v>1162</v>
      </c>
      <c r="B1114" t="s">
        <v>24</v>
      </c>
      <c r="C1114" t="s">
        <v>25</v>
      </c>
      <c r="D1114" s="5">
        <v>400645</v>
      </c>
      <c r="E1114">
        <v>186952.55</v>
      </c>
      <c r="F1114" t="s">
        <v>14</v>
      </c>
      <c r="G1114">
        <v>342</v>
      </c>
      <c r="H1114" s="1">
        <f t="shared" si="17"/>
        <v>53358</v>
      </c>
      <c r="I1114" t="s">
        <v>15</v>
      </c>
      <c r="J1114" s="1">
        <v>42937</v>
      </c>
      <c r="K1114" t="s">
        <v>22</v>
      </c>
      <c r="L1114" s="3">
        <v>4.5599999999999995E-2</v>
      </c>
      <c r="M1114" t="s">
        <v>17</v>
      </c>
      <c r="N1114" t="s">
        <v>26</v>
      </c>
      <c r="O1114">
        <v>535208.31000000006</v>
      </c>
      <c r="P1114" s="1">
        <v>46022</v>
      </c>
      <c r="R1114" s="7"/>
      <c r="S1114" s="7"/>
    </row>
    <row r="1115" spans="1:19" x14ac:dyDescent="0.3">
      <c r="A1115" t="s">
        <v>1163</v>
      </c>
      <c r="B1115" t="s">
        <v>24</v>
      </c>
      <c r="C1115" t="s">
        <v>41</v>
      </c>
      <c r="D1115" s="5">
        <v>75943</v>
      </c>
      <c r="E1115">
        <v>43229.69</v>
      </c>
      <c r="F1115" t="s">
        <v>14</v>
      </c>
      <c r="G1115">
        <v>258</v>
      </c>
      <c r="H1115" s="1">
        <f t="shared" si="17"/>
        <v>52687</v>
      </c>
      <c r="I1115" t="s">
        <v>15</v>
      </c>
      <c r="J1115" s="1">
        <v>44810</v>
      </c>
      <c r="K1115" t="s">
        <v>22</v>
      </c>
      <c r="L1115" s="3">
        <v>4.9400000000000006E-2</v>
      </c>
      <c r="M1115" t="s">
        <v>17</v>
      </c>
      <c r="N1115" t="s">
        <v>42</v>
      </c>
      <c r="O1115">
        <v>81896.27</v>
      </c>
      <c r="P1115" s="1">
        <v>46022</v>
      </c>
      <c r="R1115" s="7"/>
      <c r="S1115" s="7"/>
    </row>
    <row r="1116" spans="1:19" x14ac:dyDescent="0.3">
      <c r="A1116" t="s">
        <v>1164</v>
      </c>
      <c r="B1116" t="s">
        <v>24</v>
      </c>
      <c r="C1116" t="s">
        <v>28</v>
      </c>
      <c r="D1116" s="5">
        <v>20822</v>
      </c>
      <c r="E1116">
        <v>18883.68</v>
      </c>
      <c r="F1116" t="s">
        <v>33</v>
      </c>
      <c r="G1116">
        <v>102</v>
      </c>
      <c r="H1116" s="1">
        <f t="shared" si="17"/>
        <v>48182</v>
      </c>
      <c r="I1116" t="s">
        <v>15</v>
      </c>
      <c r="J1116" s="1">
        <v>45069</v>
      </c>
      <c r="K1116" t="s">
        <v>22</v>
      </c>
      <c r="L1116" s="3">
        <v>4.6100000000000002E-2</v>
      </c>
      <c r="M1116" t="s">
        <v>29</v>
      </c>
      <c r="N1116" t="s">
        <v>30</v>
      </c>
      <c r="O1116">
        <v>0</v>
      </c>
      <c r="P1116" s="1">
        <v>46022</v>
      </c>
      <c r="R1116" s="7"/>
      <c r="S1116" s="7"/>
    </row>
    <row r="1117" spans="1:19" x14ac:dyDescent="0.3">
      <c r="A1117" t="s">
        <v>1165</v>
      </c>
      <c r="B1117" t="s">
        <v>24</v>
      </c>
      <c r="C1117" t="s">
        <v>25</v>
      </c>
      <c r="D1117" s="5">
        <v>161518</v>
      </c>
      <c r="E1117">
        <v>44686.32</v>
      </c>
      <c r="F1117" t="s">
        <v>14</v>
      </c>
      <c r="G1117">
        <v>348</v>
      </c>
      <c r="H1117" s="1">
        <f t="shared" si="17"/>
        <v>52382</v>
      </c>
      <c r="I1117" t="s">
        <v>15</v>
      </c>
      <c r="J1117" s="1">
        <v>41788</v>
      </c>
      <c r="K1117" t="s">
        <v>22</v>
      </c>
      <c r="L1117" s="3">
        <v>5.2400000000000002E-2</v>
      </c>
      <c r="M1117" t="s">
        <v>17</v>
      </c>
      <c r="N1117" t="s">
        <v>26</v>
      </c>
      <c r="O1117">
        <v>194078.03</v>
      </c>
      <c r="P1117" s="1">
        <v>46022</v>
      </c>
      <c r="R1117" s="7"/>
      <c r="S1117" s="7"/>
    </row>
    <row r="1118" spans="1:19" x14ac:dyDescent="0.3">
      <c r="A1118" t="s">
        <v>1166</v>
      </c>
      <c r="B1118" t="s">
        <v>24</v>
      </c>
      <c r="C1118" t="s">
        <v>41</v>
      </c>
      <c r="D1118" s="5">
        <v>80538</v>
      </c>
      <c r="E1118">
        <v>9689.42</v>
      </c>
      <c r="F1118" t="s">
        <v>14</v>
      </c>
      <c r="G1118">
        <v>84</v>
      </c>
      <c r="H1118" s="1">
        <f t="shared" si="17"/>
        <v>48060</v>
      </c>
      <c r="I1118" t="s">
        <v>15</v>
      </c>
      <c r="J1118" s="1">
        <v>45474</v>
      </c>
      <c r="K1118" t="s">
        <v>56</v>
      </c>
      <c r="L1118" s="3">
        <v>5.0499999999999996E-2</v>
      </c>
      <c r="M1118" t="s">
        <v>17</v>
      </c>
      <c r="N1118" t="s">
        <v>42</v>
      </c>
      <c r="O1118">
        <v>88837.79</v>
      </c>
      <c r="P1118" s="1">
        <v>46022</v>
      </c>
      <c r="R1118" s="7"/>
      <c r="S1118" s="7"/>
    </row>
    <row r="1119" spans="1:19" x14ac:dyDescent="0.3">
      <c r="A1119" t="s">
        <v>1167</v>
      </c>
      <c r="B1119" t="s">
        <v>24</v>
      </c>
      <c r="C1119" t="s">
        <v>28</v>
      </c>
      <c r="D1119" s="5">
        <v>15002</v>
      </c>
      <c r="E1119">
        <v>13134.37</v>
      </c>
      <c r="F1119" t="s">
        <v>14</v>
      </c>
      <c r="G1119">
        <v>174</v>
      </c>
      <c r="H1119" s="1">
        <f t="shared" si="17"/>
        <v>47726</v>
      </c>
      <c r="I1119" t="s">
        <v>15</v>
      </c>
      <c r="J1119" s="1">
        <v>42412</v>
      </c>
      <c r="K1119" t="s">
        <v>39</v>
      </c>
      <c r="L1119" s="3">
        <v>6.0199999999999997E-2</v>
      </c>
      <c r="M1119" t="s">
        <v>29</v>
      </c>
      <c r="N1119" t="s">
        <v>30</v>
      </c>
      <c r="O1119">
        <v>0</v>
      </c>
      <c r="P1119" s="1">
        <v>46022</v>
      </c>
      <c r="R1119" s="7"/>
      <c r="S1119" s="7"/>
    </row>
    <row r="1120" spans="1:19" x14ac:dyDescent="0.3">
      <c r="A1120" t="s">
        <v>1168</v>
      </c>
      <c r="B1120" t="s">
        <v>37</v>
      </c>
      <c r="C1120" t="s">
        <v>78</v>
      </c>
      <c r="D1120" s="5">
        <v>222055771</v>
      </c>
      <c r="E1120">
        <v>137542537.90000001</v>
      </c>
      <c r="F1120" t="s">
        <v>14</v>
      </c>
      <c r="G1120">
        <v>120</v>
      </c>
      <c r="H1120" s="1">
        <f t="shared" si="17"/>
        <v>47817</v>
      </c>
      <c r="I1120" t="s">
        <v>15</v>
      </c>
      <c r="J1120" s="1">
        <v>44152</v>
      </c>
      <c r="K1120" t="s">
        <v>22</v>
      </c>
      <c r="L1120" s="3">
        <v>3.5099999999999999E-2</v>
      </c>
      <c r="M1120" t="s">
        <v>17</v>
      </c>
      <c r="N1120" t="s">
        <v>18</v>
      </c>
      <c r="O1120">
        <v>318503684.10000002</v>
      </c>
      <c r="P1120" s="1">
        <v>46022</v>
      </c>
      <c r="R1120" s="7"/>
      <c r="S1120" s="7"/>
    </row>
    <row r="1121" spans="1:19" x14ac:dyDescent="0.3">
      <c r="A1121" t="s">
        <v>1169</v>
      </c>
      <c r="B1121" t="s">
        <v>24</v>
      </c>
      <c r="C1121" t="s">
        <v>32</v>
      </c>
      <c r="D1121" s="5">
        <v>34587</v>
      </c>
      <c r="E1121">
        <v>31183.16</v>
      </c>
      <c r="F1121" t="s">
        <v>33</v>
      </c>
      <c r="G1121">
        <v>180</v>
      </c>
      <c r="H1121" s="1">
        <f t="shared" si="17"/>
        <v>50130</v>
      </c>
      <c r="I1121" t="s">
        <v>15</v>
      </c>
      <c r="J1121" s="1">
        <v>44622</v>
      </c>
      <c r="K1121" t="s">
        <v>35</v>
      </c>
      <c r="L1121" s="3">
        <v>4.6799999999999994E-2</v>
      </c>
      <c r="M1121" t="s">
        <v>29</v>
      </c>
      <c r="N1121" t="s">
        <v>30</v>
      </c>
      <c r="O1121">
        <v>0</v>
      </c>
      <c r="P1121" s="1">
        <v>46022</v>
      </c>
      <c r="R1121" s="7"/>
      <c r="S1121" s="7"/>
    </row>
    <row r="1122" spans="1:19" x14ac:dyDescent="0.3">
      <c r="A1122" t="s">
        <v>1170</v>
      </c>
      <c r="B1122" t="s">
        <v>24</v>
      </c>
      <c r="C1122" t="s">
        <v>28</v>
      </c>
      <c r="D1122" s="5">
        <v>17290</v>
      </c>
      <c r="E1122">
        <v>11018.29</v>
      </c>
      <c r="F1122" t="s">
        <v>14</v>
      </c>
      <c r="G1122">
        <v>114</v>
      </c>
      <c r="H1122" s="1">
        <f t="shared" si="17"/>
        <v>48638</v>
      </c>
      <c r="I1122" t="s">
        <v>15</v>
      </c>
      <c r="J1122" s="1">
        <v>45154</v>
      </c>
      <c r="K1122" t="s">
        <v>39</v>
      </c>
      <c r="L1122" s="3">
        <v>9.4600000000000004E-2</v>
      </c>
      <c r="M1122" t="s">
        <v>29</v>
      </c>
      <c r="N1122" t="s">
        <v>30</v>
      </c>
      <c r="O1122">
        <v>0</v>
      </c>
      <c r="P1122" s="1">
        <v>46022</v>
      </c>
      <c r="R1122" s="7"/>
      <c r="S1122" s="7"/>
    </row>
    <row r="1123" spans="1:19" x14ac:dyDescent="0.3">
      <c r="A1123" t="s">
        <v>1171</v>
      </c>
      <c r="B1123" t="s">
        <v>24</v>
      </c>
      <c r="C1123" t="s">
        <v>25</v>
      </c>
      <c r="D1123" s="5">
        <v>150927</v>
      </c>
      <c r="E1123">
        <v>125140.44</v>
      </c>
      <c r="F1123" t="s">
        <v>14</v>
      </c>
      <c r="G1123">
        <v>318</v>
      </c>
      <c r="H1123" s="1">
        <f t="shared" si="17"/>
        <v>53386</v>
      </c>
      <c r="I1123" t="s">
        <v>15</v>
      </c>
      <c r="J1123" s="1">
        <v>43706</v>
      </c>
      <c r="K1123" t="s">
        <v>39</v>
      </c>
      <c r="L1123" s="3">
        <v>6.8000000000000005E-2</v>
      </c>
      <c r="M1123" t="s">
        <v>17</v>
      </c>
      <c r="N1123" t="s">
        <v>26</v>
      </c>
      <c r="O1123">
        <v>210479.14</v>
      </c>
      <c r="P1123" s="1">
        <v>46022</v>
      </c>
      <c r="R1123" s="7"/>
      <c r="S1123" s="7"/>
    </row>
    <row r="1124" spans="1:19" x14ac:dyDescent="0.3">
      <c r="A1124" t="s">
        <v>1172</v>
      </c>
      <c r="B1124" t="s">
        <v>12</v>
      </c>
      <c r="C1124" t="s">
        <v>61</v>
      </c>
      <c r="D1124" s="5">
        <v>19322131</v>
      </c>
      <c r="E1124">
        <v>9404197.7599999998</v>
      </c>
      <c r="F1124" t="s">
        <v>33</v>
      </c>
      <c r="G1124">
        <v>234</v>
      </c>
      <c r="H1124" s="1">
        <f t="shared" si="17"/>
        <v>52139</v>
      </c>
      <c r="I1124" t="s">
        <v>15</v>
      </c>
      <c r="J1124" s="1">
        <v>44986</v>
      </c>
      <c r="K1124" t="s">
        <v>22</v>
      </c>
      <c r="L1124" s="3">
        <v>7.3899999999999993E-2</v>
      </c>
      <c r="M1124" t="s">
        <v>29</v>
      </c>
      <c r="N1124" t="s">
        <v>30</v>
      </c>
      <c r="O1124">
        <v>0</v>
      </c>
      <c r="P1124" s="1">
        <v>46022</v>
      </c>
      <c r="R1124" s="7"/>
      <c r="S1124" s="7"/>
    </row>
    <row r="1125" spans="1:19" x14ac:dyDescent="0.3">
      <c r="A1125" t="s">
        <v>1173</v>
      </c>
      <c r="B1125" t="s">
        <v>37</v>
      </c>
      <c r="C1125" t="s">
        <v>144</v>
      </c>
      <c r="D1125" s="5">
        <v>472779806</v>
      </c>
      <c r="E1125">
        <v>366344749.80000001</v>
      </c>
      <c r="F1125" t="s">
        <v>48</v>
      </c>
      <c r="G1125">
        <v>336</v>
      </c>
      <c r="H1125" s="1">
        <f t="shared" si="17"/>
        <v>54331</v>
      </c>
      <c r="I1125" t="s">
        <v>15</v>
      </c>
      <c r="J1125" s="1">
        <v>44078</v>
      </c>
      <c r="K1125" t="s">
        <v>22</v>
      </c>
      <c r="L1125" s="3">
        <v>2.9600000000000001E-2</v>
      </c>
      <c r="M1125" t="s">
        <v>29</v>
      </c>
      <c r="N1125" t="s">
        <v>30</v>
      </c>
      <c r="O1125">
        <v>0</v>
      </c>
      <c r="P1125" s="1">
        <v>46022</v>
      </c>
      <c r="R1125" s="7"/>
      <c r="S1125" s="7"/>
    </row>
    <row r="1126" spans="1:19" x14ac:dyDescent="0.3">
      <c r="A1126" t="s">
        <v>1174</v>
      </c>
      <c r="B1126" t="s">
        <v>24</v>
      </c>
      <c r="C1126" t="s">
        <v>28</v>
      </c>
      <c r="D1126" s="5">
        <v>32445</v>
      </c>
      <c r="E1126">
        <v>29905.759999999998</v>
      </c>
      <c r="F1126" t="s">
        <v>33</v>
      </c>
      <c r="G1126">
        <v>78</v>
      </c>
      <c r="H1126" s="1">
        <f t="shared" si="17"/>
        <v>46326</v>
      </c>
      <c r="I1126" t="s">
        <v>15</v>
      </c>
      <c r="J1126" s="1">
        <v>43930</v>
      </c>
      <c r="K1126" t="s">
        <v>39</v>
      </c>
      <c r="L1126" s="3">
        <v>5.2000000000000005E-2</v>
      </c>
      <c r="M1126" t="s">
        <v>29</v>
      </c>
      <c r="N1126" t="s">
        <v>30</v>
      </c>
      <c r="O1126">
        <v>0</v>
      </c>
      <c r="P1126" s="1">
        <v>46022</v>
      </c>
      <c r="R1126" s="7"/>
      <c r="S1126" s="7"/>
    </row>
    <row r="1127" spans="1:19" x14ac:dyDescent="0.3">
      <c r="A1127" t="s">
        <v>1175</v>
      </c>
      <c r="B1127" t="s">
        <v>24</v>
      </c>
      <c r="C1127" t="s">
        <v>28</v>
      </c>
      <c r="D1127" s="5">
        <v>33902</v>
      </c>
      <c r="E1127">
        <v>20847</v>
      </c>
      <c r="F1127" t="s">
        <v>14</v>
      </c>
      <c r="G1127">
        <v>108</v>
      </c>
      <c r="H1127" s="1">
        <f t="shared" si="17"/>
        <v>45808</v>
      </c>
      <c r="I1127" t="s">
        <v>15</v>
      </c>
      <c r="J1127" s="1">
        <v>42509</v>
      </c>
      <c r="K1127" t="s">
        <v>22</v>
      </c>
      <c r="L1127" s="3">
        <v>4.3799999999999999E-2</v>
      </c>
      <c r="M1127" t="s">
        <v>29</v>
      </c>
      <c r="N1127" t="s">
        <v>30</v>
      </c>
      <c r="O1127">
        <v>0</v>
      </c>
      <c r="P1127" s="1">
        <v>46022</v>
      </c>
      <c r="R1127" s="7"/>
      <c r="S1127" s="7"/>
    </row>
    <row r="1128" spans="1:19" x14ac:dyDescent="0.3">
      <c r="A1128" t="s">
        <v>1176</v>
      </c>
      <c r="B1128" t="s">
        <v>20</v>
      </c>
      <c r="C1128" t="s">
        <v>89</v>
      </c>
      <c r="D1128" s="5">
        <v>3179797</v>
      </c>
      <c r="E1128">
        <v>835353.68</v>
      </c>
      <c r="F1128" t="s">
        <v>14</v>
      </c>
      <c r="G1128">
        <v>138</v>
      </c>
      <c r="H1128" s="1">
        <f t="shared" si="17"/>
        <v>47087</v>
      </c>
      <c r="I1128" t="s">
        <v>15</v>
      </c>
      <c r="J1128" s="1">
        <v>42872</v>
      </c>
      <c r="K1128" t="s">
        <v>35</v>
      </c>
      <c r="L1128" s="3">
        <v>4.2500000000000003E-2</v>
      </c>
      <c r="M1128" t="s">
        <v>29</v>
      </c>
      <c r="N1128" t="s">
        <v>30</v>
      </c>
      <c r="O1128">
        <v>0</v>
      </c>
      <c r="P1128" s="1">
        <v>46022</v>
      </c>
      <c r="R1128" s="7"/>
      <c r="S1128" s="7"/>
    </row>
    <row r="1129" spans="1:19" x14ac:dyDescent="0.3">
      <c r="A1129" t="s">
        <v>1177</v>
      </c>
      <c r="B1129" t="s">
        <v>24</v>
      </c>
      <c r="C1129" t="s">
        <v>28</v>
      </c>
      <c r="D1129" s="5">
        <v>10751</v>
      </c>
      <c r="E1129">
        <v>3675.83</v>
      </c>
      <c r="F1129" t="s">
        <v>48</v>
      </c>
      <c r="G1129">
        <v>276</v>
      </c>
      <c r="H1129" s="1">
        <f t="shared" si="17"/>
        <v>50556</v>
      </c>
      <c r="I1129" t="s">
        <v>15</v>
      </c>
      <c r="J1129" s="1">
        <v>42136</v>
      </c>
      <c r="K1129" t="s">
        <v>39</v>
      </c>
      <c r="L1129" s="3">
        <v>6.1699999999999998E-2</v>
      </c>
      <c r="M1129" t="s">
        <v>29</v>
      </c>
      <c r="N1129" t="s">
        <v>30</v>
      </c>
      <c r="O1129">
        <v>0</v>
      </c>
      <c r="P1129" s="1">
        <v>46022</v>
      </c>
      <c r="R1129" s="7"/>
      <c r="S1129" s="7"/>
    </row>
    <row r="1130" spans="1:19" x14ac:dyDescent="0.3">
      <c r="A1130" t="s">
        <v>1178</v>
      </c>
      <c r="B1130" t="s">
        <v>37</v>
      </c>
      <c r="C1130" t="s">
        <v>92</v>
      </c>
      <c r="D1130" s="5">
        <v>214983593</v>
      </c>
      <c r="E1130">
        <v>59933151.799999997</v>
      </c>
      <c r="F1130" t="s">
        <v>14</v>
      </c>
      <c r="G1130">
        <v>198</v>
      </c>
      <c r="H1130" s="1">
        <f t="shared" si="17"/>
        <v>46418</v>
      </c>
      <c r="I1130" t="s">
        <v>15</v>
      </c>
      <c r="J1130" s="1">
        <v>40382</v>
      </c>
      <c r="K1130" t="s">
        <v>56</v>
      </c>
      <c r="L1130" s="3">
        <v>4.2099999999999999E-2</v>
      </c>
      <c r="M1130" t="s">
        <v>17</v>
      </c>
      <c r="N1130" t="s">
        <v>54</v>
      </c>
      <c r="O1130">
        <v>279947723.5</v>
      </c>
      <c r="P1130" s="1">
        <v>46022</v>
      </c>
      <c r="R1130" s="7"/>
      <c r="S1130" s="7"/>
    </row>
    <row r="1131" spans="1:19" x14ac:dyDescent="0.3">
      <c r="A1131" t="s">
        <v>1179</v>
      </c>
      <c r="B1131" t="s">
        <v>20</v>
      </c>
      <c r="C1131" t="s">
        <v>47</v>
      </c>
      <c r="D1131" s="5">
        <v>3767152</v>
      </c>
      <c r="E1131">
        <v>1213668.3500000001</v>
      </c>
      <c r="F1131" t="s">
        <v>14</v>
      </c>
      <c r="G1131">
        <v>234</v>
      </c>
      <c r="H1131" s="1">
        <f t="shared" si="17"/>
        <v>50617</v>
      </c>
      <c r="I1131" t="s">
        <v>15</v>
      </c>
      <c r="J1131" s="1">
        <v>43467</v>
      </c>
      <c r="K1131" t="s">
        <v>56</v>
      </c>
      <c r="L1131" s="3">
        <v>2.9300000000000003E-2</v>
      </c>
      <c r="M1131" t="s">
        <v>29</v>
      </c>
      <c r="N1131" t="s">
        <v>30</v>
      </c>
      <c r="O1131">
        <v>0</v>
      </c>
      <c r="P1131" s="1">
        <v>46022</v>
      </c>
      <c r="R1131" s="7"/>
      <c r="S1131" s="7"/>
    </row>
    <row r="1132" spans="1:19" x14ac:dyDescent="0.3">
      <c r="A1132" t="s">
        <v>1180</v>
      </c>
      <c r="B1132" t="s">
        <v>24</v>
      </c>
      <c r="C1132" t="s">
        <v>41</v>
      </c>
      <c r="D1132" s="5">
        <v>19124</v>
      </c>
      <c r="E1132">
        <v>7186.13</v>
      </c>
      <c r="F1132" t="s">
        <v>14</v>
      </c>
      <c r="G1132">
        <v>240</v>
      </c>
      <c r="H1132" s="1">
        <f t="shared" si="17"/>
        <v>51104</v>
      </c>
      <c r="I1132" t="s">
        <v>15</v>
      </c>
      <c r="J1132" s="1">
        <v>43797</v>
      </c>
      <c r="K1132" t="s">
        <v>81</v>
      </c>
      <c r="L1132" s="3">
        <v>2.6099999999999998E-2</v>
      </c>
      <c r="M1132" t="s">
        <v>17</v>
      </c>
      <c r="N1132" t="s">
        <v>42</v>
      </c>
      <c r="O1132">
        <v>23055.08</v>
      </c>
      <c r="P1132" s="1">
        <v>46022</v>
      </c>
      <c r="R1132" s="7"/>
      <c r="S1132" s="7"/>
    </row>
    <row r="1133" spans="1:19" x14ac:dyDescent="0.3">
      <c r="A1133" t="s">
        <v>1181</v>
      </c>
      <c r="B1133" t="s">
        <v>20</v>
      </c>
      <c r="C1133" t="s">
        <v>89</v>
      </c>
      <c r="D1133" s="5">
        <v>1425371</v>
      </c>
      <c r="E1133">
        <v>854681.68</v>
      </c>
      <c r="F1133" t="s">
        <v>14</v>
      </c>
      <c r="G1133">
        <v>108</v>
      </c>
      <c r="H1133" s="1">
        <f t="shared" si="17"/>
        <v>45169</v>
      </c>
      <c r="I1133" t="s">
        <v>15</v>
      </c>
      <c r="J1133" s="1">
        <v>41879</v>
      </c>
      <c r="K1133" t="s">
        <v>35</v>
      </c>
      <c r="L1133" s="3">
        <v>3.5200000000000002E-2</v>
      </c>
      <c r="M1133" t="s">
        <v>17</v>
      </c>
      <c r="N1133" t="s">
        <v>18</v>
      </c>
      <c r="O1133">
        <v>2834401.11</v>
      </c>
      <c r="P1133" s="1">
        <v>46022</v>
      </c>
      <c r="R1133" s="7"/>
      <c r="S1133" s="7"/>
    </row>
    <row r="1134" spans="1:19" x14ac:dyDescent="0.3">
      <c r="A1134" t="s">
        <v>1182</v>
      </c>
      <c r="B1134" t="s">
        <v>20</v>
      </c>
      <c r="C1134" t="s">
        <v>21</v>
      </c>
      <c r="D1134" s="5">
        <v>1417780</v>
      </c>
      <c r="E1134">
        <v>892056.24</v>
      </c>
      <c r="F1134" t="s">
        <v>48</v>
      </c>
      <c r="G1134">
        <v>60</v>
      </c>
      <c r="H1134" s="1">
        <f t="shared" si="17"/>
        <v>45991</v>
      </c>
      <c r="I1134" t="s">
        <v>15</v>
      </c>
      <c r="J1134" s="1">
        <v>44141</v>
      </c>
      <c r="K1134" t="s">
        <v>56</v>
      </c>
      <c r="L1134" s="3">
        <v>1.61E-2</v>
      </c>
      <c r="M1134" t="s">
        <v>17</v>
      </c>
      <c r="N1134" t="s">
        <v>42</v>
      </c>
      <c r="O1134">
        <v>2733359.85</v>
      </c>
      <c r="P1134" s="1">
        <v>46022</v>
      </c>
      <c r="R1134" s="7"/>
      <c r="S1134" s="7"/>
    </row>
    <row r="1135" spans="1:19" x14ac:dyDescent="0.3">
      <c r="A1135" t="s">
        <v>1183</v>
      </c>
      <c r="B1135" t="s">
        <v>24</v>
      </c>
      <c r="C1135" t="s">
        <v>25</v>
      </c>
      <c r="D1135" s="5">
        <v>488817</v>
      </c>
      <c r="E1135" s="4">
        <v>236514.01</v>
      </c>
      <c r="F1135" t="s">
        <v>14</v>
      </c>
      <c r="G1135">
        <v>198</v>
      </c>
      <c r="H1135" s="1">
        <f t="shared" si="17"/>
        <v>48852</v>
      </c>
      <c r="I1135" t="s">
        <v>15</v>
      </c>
      <c r="J1135" s="1">
        <v>42814</v>
      </c>
      <c r="K1135" t="s">
        <v>101</v>
      </c>
      <c r="L1135" s="3">
        <v>0.1462</v>
      </c>
      <c r="M1135" t="s">
        <v>17</v>
      </c>
      <c r="N1135" t="s">
        <v>26</v>
      </c>
      <c r="O1135">
        <v>616983.67000000004</v>
      </c>
      <c r="P1135" s="1">
        <v>46022</v>
      </c>
      <c r="R1135" s="7"/>
      <c r="S1135" s="7"/>
    </row>
    <row r="1136" spans="1:19" x14ac:dyDescent="0.3">
      <c r="A1136" t="s">
        <v>1184</v>
      </c>
      <c r="B1136" t="s">
        <v>37</v>
      </c>
      <c r="C1136" t="s">
        <v>144</v>
      </c>
      <c r="D1136" s="5">
        <v>490380683</v>
      </c>
      <c r="E1136">
        <v>320649484.5</v>
      </c>
      <c r="F1136" t="s">
        <v>33</v>
      </c>
      <c r="G1136">
        <v>192</v>
      </c>
      <c r="H1136" s="1">
        <f t="shared" si="17"/>
        <v>48669</v>
      </c>
      <c r="I1136" t="s">
        <v>15</v>
      </c>
      <c r="J1136" s="1">
        <v>42803</v>
      </c>
      <c r="K1136" t="s">
        <v>22</v>
      </c>
      <c r="L1136" s="3">
        <v>4.8499999999999995E-2</v>
      </c>
      <c r="M1136" t="s">
        <v>29</v>
      </c>
      <c r="N1136" t="s">
        <v>30</v>
      </c>
      <c r="O1136">
        <v>0</v>
      </c>
      <c r="P1136" s="1">
        <v>46022</v>
      </c>
      <c r="R1136" s="7"/>
      <c r="S1136" s="7"/>
    </row>
    <row r="1137" spans="1:19" x14ac:dyDescent="0.3">
      <c r="A1137" t="s">
        <v>1185</v>
      </c>
      <c r="B1137" t="s">
        <v>37</v>
      </c>
      <c r="C1137" t="s">
        <v>92</v>
      </c>
      <c r="D1137" s="5">
        <v>43076248</v>
      </c>
      <c r="E1137">
        <v>7470172.3300000001</v>
      </c>
      <c r="F1137" t="s">
        <v>14</v>
      </c>
      <c r="G1137">
        <v>324</v>
      </c>
      <c r="H1137" s="1">
        <f t="shared" si="17"/>
        <v>53631</v>
      </c>
      <c r="I1137" t="s">
        <v>15</v>
      </c>
      <c r="J1137" s="1">
        <v>43752</v>
      </c>
      <c r="K1137" t="s">
        <v>35</v>
      </c>
      <c r="L1137" s="3">
        <v>3.5499999999999997E-2</v>
      </c>
      <c r="M1137" t="s">
        <v>17</v>
      </c>
      <c r="N1137" t="s">
        <v>54</v>
      </c>
      <c r="O1137">
        <v>61041822.719999999</v>
      </c>
      <c r="P1137" s="1">
        <v>46022</v>
      </c>
      <c r="R1137" s="7"/>
      <c r="S1137" s="7"/>
    </row>
    <row r="1138" spans="1:19" x14ac:dyDescent="0.3">
      <c r="A1138" t="s">
        <v>1186</v>
      </c>
      <c r="B1138" t="s">
        <v>24</v>
      </c>
      <c r="C1138" t="s">
        <v>32</v>
      </c>
      <c r="D1138" s="5">
        <v>26416</v>
      </c>
      <c r="E1138">
        <v>4728.78</v>
      </c>
      <c r="F1138" t="s">
        <v>33</v>
      </c>
      <c r="G1138">
        <v>102</v>
      </c>
      <c r="H1138" s="1">
        <f t="shared" si="17"/>
        <v>45930</v>
      </c>
      <c r="I1138" t="s">
        <v>15</v>
      </c>
      <c r="J1138" s="1">
        <v>42821</v>
      </c>
      <c r="K1138" t="s">
        <v>35</v>
      </c>
      <c r="L1138" s="3">
        <v>3.5900000000000001E-2</v>
      </c>
      <c r="M1138" t="s">
        <v>29</v>
      </c>
      <c r="N1138" t="s">
        <v>30</v>
      </c>
      <c r="O1138">
        <v>0</v>
      </c>
      <c r="P1138" s="1">
        <v>46022</v>
      </c>
      <c r="R1138" s="7"/>
      <c r="S1138" s="7"/>
    </row>
    <row r="1139" spans="1:19" x14ac:dyDescent="0.3">
      <c r="A1139" t="s">
        <v>1187</v>
      </c>
      <c r="B1139" t="s">
        <v>20</v>
      </c>
      <c r="C1139" t="s">
        <v>21</v>
      </c>
      <c r="D1139" s="5">
        <v>937855</v>
      </c>
      <c r="E1139">
        <v>238821.55</v>
      </c>
      <c r="F1139" t="s">
        <v>48</v>
      </c>
      <c r="G1139">
        <v>114</v>
      </c>
      <c r="H1139" s="1">
        <f t="shared" si="17"/>
        <v>48610</v>
      </c>
      <c r="I1139" t="s">
        <v>15</v>
      </c>
      <c r="J1139" s="1">
        <v>45110</v>
      </c>
      <c r="K1139" t="s">
        <v>16</v>
      </c>
      <c r="L1139" s="3">
        <v>0.11800000000000001</v>
      </c>
      <c r="M1139" t="s">
        <v>29</v>
      </c>
      <c r="N1139" t="s">
        <v>30</v>
      </c>
      <c r="O1139">
        <v>0</v>
      </c>
      <c r="P1139" s="1">
        <v>46022</v>
      </c>
      <c r="R1139" s="7"/>
      <c r="S1139" s="7"/>
    </row>
    <row r="1140" spans="1:19" x14ac:dyDescent="0.3">
      <c r="A1140" t="s">
        <v>1188</v>
      </c>
      <c r="B1140" t="s">
        <v>24</v>
      </c>
      <c r="C1140" t="s">
        <v>41</v>
      </c>
      <c r="D1140" s="5">
        <v>97361</v>
      </c>
      <c r="E1140">
        <v>55132.53</v>
      </c>
      <c r="F1140" t="s">
        <v>14</v>
      </c>
      <c r="G1140">
        <v>162</v>
      </c>
      <c r="H1140" s="1">
        <f t="shared" si="17"/>
        <v>49674</v>
      </c>
      <c r="I1140" t="s">
        <v>15</v>
      </c>
      <c r="J1140" s="1">
        <v>44741</v>
      </c>
      <c r="K1140" t="s">
        <v>22</v>
      </c>
      <c r="L1140" s="3">
        <v>5.28E-2</v>
      </c>
      <c r="M1140" t="s">
        <v>17</v>
      </c>
      <c r="N1140" t="s">
        <v>42</v>
      </c>
      <c r="O1140">
        <v>106899.98</v>
      </c>
      <c r="P1140" s="1">
        <v>46022</v>
      </c>
      <c r="R1140" s="7"/>
      <c r="S1140" s="7"/>
    </row>
    <row r="1141" spans="1:19" x14ac:dyDescent="0.3">
      <c r="A1141" t="s">
        <v>1189</v>
      </c>
      <c r="B1141" t="s">
        <v>12</v>
      </c>
      <c r="C1141" t="s">
        <v>61</v>
      </c>
      <c r="D1141" s="5">
        <v>6551872</v>
      </c>
      <c r="E1141">
        <v>1917046.29</v>
      </c>
      <c r="F1141" t="s">
        <v>14</v>
      </c>
      <c r="G1141">
        <v>60</v>
      </c>
      <c r="H1141" s="1">
        <f t="shared" si="17"/>
        <v>46507</v>
      </c>
      <c r="I1141" t="s">
        <v>15</v>
      </c>
      <c r="J1141" s="1">
        <v>44672</v>
      </c>
      <c r="K1141" t="s">
        <v>22</v>
      </c>
      <c r="L1141" s="3">
        <v>5.74E-2</v>
      </c>
      <c r="M1141" t="s">
        <v>17</v>
      </c>
      <c r="N1141" t="s">
        <v>54</v>
      </c>
      <c r="O1141">
        <v>11125375.939999999</v>
      </c>
      <c r="P1141" s="1">
        <v>46022</v>
      </c>
      <c r="R1141" s="7"/>
      <c r="S1141" s="7"/>
    </row>
    <row r="1142" spans="1:19" x14ac:dyDescent="0.3">
      <c r="A1142" t="s">
        <v>1190</v>
      </c>
      <c r="B1142" t="s">
        <v>24</v>
      </c>
      <c r="C1142" t="s">
        <v>32</v>
      </c>
      <c r="D1142" s="5">
        <v>20776</v>
      </c>
      <c r="E1142">
        <v>7374.72</v>
      </c>
      <c r="F1142" t="s">
        <v>33</v>
      </c>
      <c r="G1142">
        <v>210</v>
      </c>
      <c r="H1142" s="1">
        <f t="shared" si="17"/>
        <v>48152</v>
      </c>
      <c r="I1142" t="s">
        <v>15</v>
      </c>
      <c r="J1142" s="1">
        <v>41732</v>
      </c>
      <c r="K1142" t="s">
        <v>16</v>
      </c>
      <c r="L1142" s="3">
        <v>9.9700000000000011E-2</v>
      </c>
      <c r="M1142" t="s">
        <v>29</v>
      </c>
      <c r="N1142" t="s">
        <v>30</v>
      </c>
      <c r="O1142">
        <v>0</v>
      </c>
      <c r="P1142" s="1">
        <v>46022</v>
      </c>
      <c r="R1142" s="7"/>
      <c r="S1142" s="7"/>
    </row>
    <row r="1143" spans="1:19" x14ac:dyDescent="0.3">
      <c r="A1143" t="s">
        <v>1191</v>
      </c>
      <c r="B1143" t="s">
        <v>24</v>
      </c>
      <c r="C1143" t="s">
        <v>32</v>
      </c>
      <c r="D1143" s="5">
        <v>37156</v>
      </c>
      <c r="E1143">
        <v>17102.39</v>
      </c>
      <c r="F1143" t="s">
        <v>33</v>
      </c>
      <c r="G1143">
        <v>336</v>
      </c>
      <c r="H1143" s="1">
        <f t="shared" si="17"/>
        <v>52047</v>
      </c>
      <c r="I1143" t="s">
        <v>15</v>
      </c>
      <c r="J1143" s="1">
        <v>41807</v>
      </c>
      <c r="K1143" t="s">
        <v>22</v>
      </c>
      <c r="L1143" s="3">
        <v>4.9400000000000006E-2</v>
      </c>
      <c r="M1143" t="s">
        <v>29</v>
      </c>
      <c r="N1143" t="s">
        <v>30</v>
      </c>
      <c r="O1143">
        <v>0</v>
      </c>
      <c r="P1143" s="1">
        <v>46022</v>
      </c>
      <c r="R1143" s="7"/>
      <c r="S1143" s="7"/>
    </row>
    <row r="1144" spans="1:19" x14ac:dyDescent="0.3">
      <c r="A1144" t="s">
        <v>1192</v>
      </c>
      <c r="B1144" t="s">
        <v>24</v>
      </c>
      <c r="C1144" t="s">
        <v>32</v>
      </c>
      <c r="D1144" s="5">
        <v>35523</v>
      </c>
      <c r="E1144">
        <v>29508.37</v>
      </c>
      <c r="F1144" t="s">
        <v>33</v>
      </c>
      <c r="G1144">
        <v>222</v>
      </c>
      <c r="H1144" s="1">
        <f t="shared" si="17"/>
        <v>49399</v>
      </c>
      <c r="I1144" t="s">
        <v>15</v>
      </c>
      <c r="J1144" s="1">
        <v>42634</v>
      </c>
      <c r="K1144" t="s">
        <v>22</v>
      </c>
      <c r="L1144" s="3">
        <v>4.1900000000000007E-2</v>
      </c>
      <c r="M1144" t="s">
        <v>29</v>
      </c>
      <c r="N1144" t="s">
        <v>30</v>
      </c>
      <c r="O1144">
        <v>0</v>
      </c>
      <c r="P1144" s="1">
        <v>46022</v>
      </c>
      <c r="R1144" s="7"/>
      <c r="S1144" s="7"/>
    </row>
    <row r="1145" spans="1:19" x14ac:dyDescent="0.3">
      <c r="A1145" t="s">
        <v>1193</v>
      </c>
      <c r="B1145" t="s">
        <v>24</v>
      </c>
      <c r="C1145" t="s">
        <v>32</v>
      </c>
      <c r="D1145" s="5">
        <v>21714</v>
      </c>
      <c r="E1145">
        <v>2442.27</v>
      </c>
      <c r="F1145" t="s">
        <v>33</v>
      </c>
      <c r="G1145">
        <v>204</v>
      </c>
      <c r="H1145" s="1">
        <f t="shared" si="17"/>
        <v>50252</v>
      </c>
      <c r="I1145" t="s">
        <v>15</v>
      </c>
      <c r="J1145" s="1">
        <v>44020</v>
      </c>
      <c r="K1145" t="s">
        <v>35</v>
      </c>
      <c r="L1145" s="3">
        <v>2.6499999999999999E-2</v>
      </c>
      <c r="M1145" t="s">
        <v>29</v>
      </c>
      <c r="N1145" t="s">
        <v>30</v>
      </c>
      <c r="O1145">
        <v>0</v>
      </c>
      <c r="P1145" s="1">
        <v>46022</v>
      </c>
      <c r="R1145" s="7"/>
      <c r="S1145" s="7"/>
    </row>
    <row r="1146" spans="1:19" x14ac:dyDescent="0.3">
      <c r="A1146" t="s">
        <v>1194</v>
      </c>
      <c r="B1146" t="s">
        <v>20</v>
      </c>
      <c r="C1146" t="s">
        <v>51</v>
      </c>
      <c r="D1146" s="5">
        <v>1765295</v>
      </c>
      <c r="E1146">
        <v>1208239.9099999999</v>
      </c>
      <c r="F1146" t="s">
        <v>48</v>
      </c>
      <c r="G1146">
        <v>120</v>
      </c>
      <c r="H1146" s="1">
        <f t="shared" si="17"/>
        <v>48304</v>
      </c>
      <c r="I1146" t="s">
        <v>15</v>
      </c>
      <c r="J1146" s="1">
        <v>44632</v>
      </c>
      <c r="K1146" t="s">
        <v>22</v>
      </c>
      <c r="L1146" s="3">
        <v>4.2300000000000004E-2</v>
      </c>
      <c r="M1146" t="s">
        <v>29</v>
      </c>
      <c r="N1146" t="s">
        <v>30</v>
      </c>
      <c r="O1146">
        <v>0</v>
      </c>
      <c r="P1146" s="1">
        <v>46022</v>
      </c>
      <c r="R1146" s="7"/>
      <c r="S1146" s="7"/>
    </row>
    <row r="1147" spans="1:19" x14ac:dyDescent="0.3">
      <c r="A1147" t="s">
        <v>1195</v>
      </c>
      <c r="B1147" t="s">
        <v>24</v>
      </c>
      <c r="C1147" t="s">
        <v>32</v>
      </c>
      <c r="D1147" s="5">
        <v>20483</v>
      </c>
      <c r="E1147">
        <v>14378.85</v>
      </c>
      <c r="F1147" t="s">
        <v>33</v>
      </c>
      <c r="G1147">
        <v>150</v>
      </c>
      <c r="H1147" s="1">
        <f t="shared" si="17"/>
        <v>47330</v>
      </c>
      <c r="I1147" t="s">
        <v>15</v>
      </c>
      <c r="J1147" s="1">
        <v>42746</v>
      </c>
      <c r="K1147" t="s">
        <v>22</v>
      </c>
      <c r="L1147" s="3">
        <v>4.8499999999999995E-2</v>
      </c>
      <c r="M1147" t="s">
        <v>29</v>
      </c>
      <c r="N1147" t="s">
        <v>30</v>
      </c>
      <c r="O1147">
        <v>0</v>
      </c>
      <c r="P1147" s="1">
        <v>46022</v>
      </c>
      <c r="R1147" s="7"/>
      <c r="S1147" s="7"/>
    </row>
    <row r="1148" spans="1:19" x14ac:dyDescent="0.3">
      <c r="A1148" t="s">
        <v>1196</v>
      </c>
      <c r="B1148" t="s">
        <v>24</v>
      </c>
      <c r="C1148" t="s">
        <v>41</v>
      </c>
      <c r="D1148" s="5">
        <v>33785</v>
      </c>
      <c r="E1148">
        <v>27662.71</v>
      </c>
      <c r="F1148" t="s">
        <v>14</v>
      </c>
      <c r="G1148">
        <v>60</v>
      </c>
      <c r="H1148" s="1">
        <f t="shared" si="17"/>
        <v>46843</v>
      </c>
      <c r="I1148" t="s">
        <v>15</v>
      </c>
      <c r="J1148" s="1">
        <v>45013</v>
      </c>
      <c r="K1148" t="s">
        <v>39</v>
      </c>
      <c r="L1148" s="3">
        <v>9.2300000000000007E-2</v>
      </c>
      <c r="M1148" t="s">
        <v>17</v>
      </c>
      <c r="N1148" t="s">
        <v>42</v>
      </c>
      <c r="O1148">
        <v>34943.03</v>
      </c>
      <c r="P1148" s="1">
        <v>46022</v>
      </c>
      <c r="R1148" s="7"/>
      <c r="S1148" s="7"/>
    </row>
    <row r="1149" spans="1:19" x14ac:dyDescent="0.3">
      <c r="A1149" t="s">
        <v>1197</v>
      </c>
      <c r="B1149" t="s">
        <v>12</v>
      </c>
      <c r="C1149" t="s">
        <v>13</v>
      </c>
      <c r="D1149" s="5">
        <v>11061314</v>
      </c>
      <c r="E1149">
        <v>10391857.23</v>
      </c>
      <c r="F1149" t="s">
        <v>14</v>
      </c>
      <c r="G1149">
        <v>60</v>
      </c>
      <c r="H1149" s="1">
        <f t="shared" si="17"/>
        <v>45322</v>
      </c>
      <c r="I1149" t="s">
        <v>15</v>
      </c>
      <c r="J1149" s="1">
        <v>43484</v>
      </c>
      <c r="K1149" t="s">
        <v>22</v>
      </c>
      <c r="L1149" s="3">
        <v>4.5400000000000003E-2</v>
      </c>
      <c r="M1149" t="s">
        <v>29</v>
      </c>
      <c r="N1149" t="s">
        <v>30</v>
      </c>
      <c r="O1149">
        <v>0</v>
      </c>
      <c r="P1149" s="1">
        <v>46022</v>
      </c>
      <c r="R1149" s="7"/>
      <c r="S1149" s="7"/>
    </row>
    <row r="1150" spans="1:19" x14ac:dyDescent="0.3">
      <c r="A1150" t="s">
        <v>1198</v>
      </c>
      <c r="B1150" t="s">
        <v>24</v>
      </c>
      <c r="C1150" t="s">
        <v>25</v>
      </c>
      <c r="D1150" s="5">
        <v>534736</v>
      </c>
      <c r="E1150">
        <v>63165.16</v>
      </c>
      <c r="F1150" t="s">
        <v>14</v>
      </c>
      <c r="G1150">
        <v>60</v>
      </c>
      <c r="H1150" s="1">
        <f t="shared" si="17"/>
        <v>45138</v>
      </c>
      <c r="I1150" t="s">
        <v>15</v>
      </c>
      <c r="J1150" s="1">
        <v>43301</v>
      </c>
      <c r="K1150" t="s">
        <v>22</v>
      </c>
      <c r="L1150" s="3">
        <v>5.4299999999999994E-2</v>
      </c>
      <c r="M1150" t="s">
        <v>17</v>
      </c>
      <c r="N1150" t="s">
        <v>26</v>
      </c>
      <c r="O1150">
        <v>702191.04</v>
      </c>
      <c r="P1150" s="1">
        <v>46022</v>
      </c>
      <c r="R1150" s="7"/>
      <c r="S1150" s="7"/>
    </row>
    <row r="1151" spans="1:19" x14ac:dyDescent="0.3">
      <c r="A1151" t="s">
        <v>1199</v>
      </c>
      <c r="B1151" t="s">
        <v>37</v>
      </c>
      <c r="C1151" t="s">
        <v>74</v>
      </c>
      <c r="D1151" s="5">
        <v>141581541</v>
      </c>
      <c r="E1151">
        <v>33753794.579999998</v>
      </c>
      <c r="F1151" t="s">
        <v>48</v>
      </c>
      <c r="G1151">
        <v>144</v>
      </c>
      <c r="H1151" s="1">
        <f t="shared" si="17"/>
        <v>46783</v>
      </c>
      <c r="I1151" t="s">
        <v>15</v>
      </c>
      <c r="J1151" s="1">
        <v>42390</v>
      </c>
      <c r="K1151" t="s">
        <v>56</v>
      </c>
      <c r="L1151" s="3">
        <v>3.1099999999999999E-2</v>
      </c>
      <c r="M1151" t="s">
        <v>29</v>
      </c>
      <c r="N1151" t="s">
        <v>30</v>
      </c>
      <c r="O1151">
        <v>0</v>
      </c>
      <c r="P1151" s="1">
        <v>46022</v>
      </c>
      <c r="R1151" s="7"/>
      <c r="S1151" s="7"/>
    </row>
    <row r="1152" spans="1:19" x14ac:dyDescent="0.3">
      <c r="A1152" t="s">
        <v>1200</v>
      </c>
      <c r="B1152" t="s">
        <v>24</v>
      </c>
      <c r="C1152" t="s">
        <v>41</v>
      </c>
      <c r="D1152" s="5">
        <v>35872</v>
      </c>
      <c r="E1152">
        <v>32196.66</v>
      </c>
      <c r="F1152" t="s">
        <v>14</v>
      </c>
      <c r="G1152">
        <v>126</v>
      </c>
      <c r="H1152" s="1">
        <f t="shared" si="17"/>
        <v>48975</v>
      </c>
      <c r="I1152" t="s">
        <v>15</v>
      </c>
      <c r="J1152" s="1">
        <v>45127</v>
      </c>
      <c r="K1152" t="s">
        <v>35</v>
      </c>
      <c r="L1152" s="3">
        <v>6.7799999999999999E-2</v>
      </c>
      <c r="M1152" t="s">
        <v>17</v>
      </c>
      <c r="N1152" t="s">
        <v>42</v>
      </c>
      <c r="O1152">
        <v>43571.5</v>
      </c>
      <c r="P1152" s="1">
        <v>46022</v>
      </c>
      <c r="R1152" s="7"/>
      <c r="S1152" s="7"/>
    </row>
    <row r="1153" spans="1:19" x14ac:dyDescent="0.3">
      <c r="A1153" t="s">
        <v>1201</v>
      </c>
      <c r="B1153" t="s">
        <v>24</v>
      </c>
      <c r="C1153" t="s">
        <v>32</v>
      </c>
      <c r="D1153" s="5">
        <v>33181</v>
      </c>
      <c r="E1153">
        <v>17010.82</v>
      </c>
      <c r="F1153" t="s">
        <v>33</v>
      </c>
      <c r="G1153">
        <v>72</v>
      </c>
      <c r="H1153" s="1">
        <f t="shared" si="17"/>
        <v>46996</v>
      </c>
      <c r="I1153" t="s">
        <v>15</v>
      </c>
      <c r="J1153" s="1">
        <v>44790</v>
      </c>
      <c r="K1153" t="s">
        <v>22</v>
      </c>
      <c r="L1153" s="3">
        <v>4.0199999999999993E-2</v>
      </c>
      <c r="M1153" t="s">
        <v>29</v>
      </c>
      <c r="N1153" t="s">
        <v>30</v>
      </c>
      <c r="O1153">
        <v>0</v>
      </c>
      <c r="P1153" s="1">
        <v>46022</v>
      </c>
      <c r="R1153" s="7"/>
      <c r="S1153" s="7"/>
    </row>
    <row r="1154" spans="1:19" x14ac:dyDescent="0.3">
      <c r="A1154" t="s">
        <v>1202</v>
      </c>
      <c r="B1154" t="s">
        <v>24</v>
      </c>
      <c r="C1154" t="s">
        <v>41</v>
      </c>
      <c r="D1154" s="5">
        <v>97168</v>
      </c>
      <c r="E1154">
        <v>59091.15</v>
      </c>
      <c r="F1154" t="s">
        <v>14</v>
      </c>
      <c r="G1154">
        <v>162</v>
      </c>
      <c r="H1154" s="1">
        <f t="shared" ref="H1154:H1217" si="18">EOMONTH(J1154,G1154)</f>
        <v>48060</v>
      </c>
      <c r="I1154" t="s">
        <v>15</v>
      </c>
      <c r="J1154" s="1">
        <v>43110</v>
      </c>
      <c r="K1154" t="s">
        <v>16</v>
      </c>
      <c r="L1154" s="3">
        <v>0.1012</v>
      </c>
      <c r="M1154" t="s">
        <v>17</v>
      </c>
      <c r="N1154" t="s">
        <v>42</v>
      </c>
      <c r="O1154">
        <v>120290.75</v>
      </c>
      <c r="P1154" s="1">
        <v>46022</v>
      </c>
      <c r="R1154" s="7"/>
      <c r="S1154" s="7"/>
    </row>
    <row r="1155" spans="1:19" x14ac:dyDescent="0.3">
      <c r="A1155" t="s">
        <v>1203</v>
      </c>
      <c r="B1155" t="s">
        <v>24</v>
      </c>
      <c r="C1155" t="s">
        <v>25</v>
      </c>
      <c r="D1155" s="5">
        <v>643273</v>
      </c>
      <c r="E1155">
        <v>448184.38</v>
      </c>
      <c r="F1155" t="s">
        <v>14</v>
      </c>
      <c r="G1155">
        <v>96</v>
      </c>
      <c r="H1155" s="1">
        <f t="shared" si="18"/>
        <v>48273</v>
      </c>
      <c r="I1155" t="s">
        <v>15</v>
      </c>
      <c r="J1155" s="1">
        <v>45346</v>
      </c>
      <c r="K1155" t="s">
        <v>22</v>
      </c>
      <c r="L1155" s="3">
        <v>5.2999999999999999E-2</v>
      </c>
      <c r="M1155" t="s">
        <v>17</v>
      </c>
      <c r="N1155" t="s">
        <v>26</v>
      </c>
      <c r="O1155">
        <v>795460.01</v>
      </c>
      <c r="P1155" s="1">
        <v>46022</v>
      </c>
      <c r="R1155" s="7"/>
      <c r="S1155" s="7"/>
    </row>
    <row r="1156" spans="1:19" x14ac:dyDescent="0.3">
      <c r="A1156" t="s">
        <v>1204</v>
      </c>
      <c r="B1156" t="s">
        <v>24</v>
      </c>
      <c r="C1156" t="s">
        <v>32</v>
      </c>
      <c r="D1156" s="5">
        <v>4772</v>
      </c>
      <c r="E1156">
        <v>3393.65</v>
      </c>
      <c r="F1156" t="s">
        <v>33</v>
      </c>
      <c r="G1156">
        <v>156</v>
      </c>
      <c r="H1156" s="1">
        <f t="shared" si="18"/>
        <v>48579</v>
      </c>
      <c r="I1156" t="s">
        <v>15</v>
      </c>
      <c r="J1156" s="1">
        <v>43819</v>
      </c>
      <c r="K1156" t="s">
        <v>39</v>
      </c>
      <c r="L1156" s="3">
        <v>6.4500000000000002E-2</v>
      </c>
      <c r="M1156" t="s">
        <v>29</v>
      </c>
      <c r="N1156" t="s">
        <v>30</v>
      </c>
      <c r="O1156">
        <v>0</v>
      </c>
      <c r="P1156" s="1">
        <v>46022</v>
      </c>
      <c r="R1156" s="7"/>
      <c r="S1156" s="7"/>
    </row>
    <row r="1157" spans="1:19" x14ac:dyDescent="0.3">
      <c r="A1157" t="s">
        <v>1205</v>
      </c>
      <c r="B1157" t="s">
        <v>24</v>
      </c>
      <c r="C1157" t="s">
        <v>28</v>
      </c>
      <c r="D1157" s="5">
        <v>4704</v>
      </c>
      <c r="E1157">
        <v>4414.6400000000003</v>
      </c>
      <c r="F1157" t="s">
        <v>14</v>
      </c>
      <c r="G1157">
        <v>180</v>
      </c>
      <c r="H1157" s="1">
        <f t="shared" si="18"/>
        <v>46691</v>
      </c>
      <c r="I1157" t="s">
        <v>15</v>
      </c>
      <c r="J1157" s="1">
        <v>41206</v>
      </c>
      <c r="K1157" t="s">
        <v>22</v>
      </c>
      <c r="L1157" s="3">
        <v>3.9699999999999999E-2</v>
      </c>
      <c r="M1157" t="s">
        <v>29</v>
      </c>
      <c r="N1157" t="s">
        <v>30</v>
      </c>
      <c r="O1157">
        <v>0</v>
      </c>
      <c r="P1157" s="1">
        <v>46022</v>
      </c>
      <c r="R1157" s="7"/>
      <c r="S1157" s="7"/>
    </row>
    <row r="1158" spans="1:19" x14ac:dyDescent="0.3">
      <c r="A1158" t="s">
        <v>1206</v>
      </c>
      <c r="B1158" t="s">
        <v>24</v>
      </c>
      <c r="C1158" t="s">
        <v>32</v>
      </c>
      <c r="D1158" s="5">
        <v>47620</v>
      </c>
      <c r="E1158">
        <v>47489</v>
      </c>
      <c r="F1158" t="s">
        <v>33</v>
      </c>
      <c r="G1158">
        <v>294</v>
      </c>
      <c r="H1158" s="1">
        <f t="shared" si="18"/>
        <v>51591</v>
      </c>
      <c r="I1158" t="s">
        <v>15</v>
      </c>
      <c r="J1158" s="1">
        <v>42627</v>
      </c>
      <c r="K1158" t="s">
        <v>35</v>
      </c>
      <c r="L1158" s="3">
        <v>2.7999999999999997E-2</v>
      </c>
      <c r="M1158" t="s">
        <v>29</v>
      </c>
      <c r="N1158" t="s">
        <v>30</v>
      </c>
      <c r="O1158">
        <v>0</v>
      </c>
      <c r="P1158" s="1">
        <v>46022</v>
      </c>
      <c r="R1158" s="7"/>
      <c r="S1158" s="7"/>
    </row>
    <row r="1159" spans="1:19" x14ac:dyDescent="0.3">
      <c r="A1159" t="s">
        <v>1207</v>
      </c>
      <c r="B1159" t="s">
        <v>37</v>
      </c>
      <c r="C1159" t="s">
        <v>78</v>
      </c>
      <c r="D1159" s="5">
        <v>155672487</v>
      </c>
      <c r="E1159">
        <v>116465081.59999999</v>
      </c>
      <c r="F1159" t="s">
        <v>33</v>
      </c>
      <c r="G1159">
        <v>96</v>
      </c>
      <c r="H1159" s="1">
        <f t="shared" si="18"/>
        <v>46203</v>
      </c>
      <c r="I1159" t="s">
        <v>15</v>
      </c>
      <c r="J1159" s="1">
        <v>43279</v>
      </c>
      <c r="K1159" t="s">
        <v>56</v>
      </c>
      <c r="L1159" s="3">
        <v>3.85E-2</v>
      </c>
      <c r="M1159" t="s">
        <v>17</v>
      </c>
      <c r="N1159" t="s">
        <v>42</v>
      </c>
      <c r="O1159">
        <v>300586344</v>
      </c>
      <c r="P1159" s="1">
        <v>46022</v>
      </c>
      <c r="R1159" s="7"/>
      <c r="S1159" s="7"/>
    </row>
    <row r="1160" spans="1:19" x14ac:dyDescent="0.3">
      <c r="A1160" t="s">
        <v>1208</v>
      </c>
      <c r="B1160" t="s">
        <v>24</v>
      </c>
      <c r="C1160" t="s">
        <v>32</v>
      </c>
      <c r="D1160" s="5">
        <v>5511</v>
      </c>
      <c r="E1160">
        <v>1975.79</v>
      </c>
      <c r="F1160" t="s">
        <v>33</v>
      </c>
      <c r="G1160">
        <v>42</v>
      </c>
      <c r="H1160" s="1">
        <f t="shared" si="18"/>
        <v>46660</v>
      </c>
      <c r="I1160" t="s">
        <v>15</v>
      </c>
      <c r="J1160" s="1">
        <v>45352</v>
      </c>
      <c r="K1160" t="s">
        <v>22</v>
      </c>
      <c r="L1160" s="3">
        <v>6.8499999999999991E-2</v>
      </c>
      <c r="M1160" t="s">
        <v>29</v>
      </c>
      <c r="N1160" t="s">
        <v>30</v>
      </c>
      <c r="O1160">
        <v>0</v>
      </c>
      <c r="P1160" s="1">
        <v>46022</v>
      </c>
      <c r="R1160" s="7"/>
      <c r="S1160" s="7"/>
    </row>
    <row r="1161" spans="1:19" x14ac:dyDescent="0.3">
      <c r="A1161" t="s">
        <v>1209</v>
      </c>
      <c r="B1161" t="s">
        <v>20</v>
      </c>
      <c r="C1161" t="s">
        <v>47</v>
      </c>
      <c r="D1161" s="5">
        <v>3015271</v>
      </c>
      <c r="E1161">
        <v>2688949.56</v>
      </c>
      <c r="F1161" t="s">
        <v>14</v>
      </c>
      <c r="G1161">
        <v>96</v>
      </c>
      <c r="H1161" s="1">
        <f t="shared" si="18"/>
        <v>46965</v>
      </c>
      <c r="I1161" t="s">
        <v>15</v>
      </c>
      <c r="J1161" s="1">
        <v>44043</v>
      </c>
      <c r="K1161" t="s">
        <v>35</v>
      </c>
      <c r="L1161" s="3">
        <v>3.3500000000000002E-2</v>
      </c>
      <c r="M1161" t="s">
        <v>17</v>
      </c>
      <c r="N1161" t="s">
        <v>18</v>
      </c>
      <c r="O1161">
        <v>3565477.79</v>
      </c>
      <c r="P1161" s="1">
        <v>46022</v>
      </c>
      <c r="R1161" s="7"/>
      <c r="S1161" s="7"/>
    </row>
    <row r="1162" spans="1:19" x14ac:dyDescent="0.3">
      <c r="A1162" t="s">
        <v>1210</v>
      </c>
      <c r="B1162" t="s">
        <v>24</v>
      </c>
      <c r="C1162" t="s">
        <v>25</v>
      </c>
      <c r="D1162" s="5">
        <v>661284</v>
      </c>
      <c r="E1162">
        <v>95422.49</v>
      </c>
      <c r="F1162" t="s">
        <v>14</v>
      </c>
      <c r="G1162">
        <v>210</v>
      </c>
      <c r="H1162" s="1">
        <f t="shared" si="18"/>
        <v>48883</v>
      </c>
      <c r="I1162" t="s">
        <v>15</v>
      </c>
      <c r="J1162" s="1">
        <v>42461</v>
      </c>
      <c r="K1162" t="s">
        <v>35</v>
      </c>
      <c r="L1162" s="3">
        <v>2.9900000000000003E-2</v>
      </c>
      <c r="M1162" t="s">
        <v>17</v>
      </c>
      <c r="N1162" t="s">
        <v>26</v>
      </c>
      <c r="O1162">
        <v>857679.42</v>
      </c>
      <c r="P1162" s="1">
        <v>46022</v>
      </c>
      <c r="R1162" s="7"/>
      <c r="S1162" s="7"/>
    </row>
    <row r="1163" spans="1:19" x14ac:dyDescent="0.3">
      <c r="A1163" t="s">
        <v>1211</v>
      </c>
      <c r="B1163" t="s">
        <v>37</v>
      </c>
      <c r="C1163" t="s">
        <v>38</v>
      </c>
      <c r="D1163" s="5">
        <v>327767362</v>
      </c>
      <c r="E1163">
        <v>100943421.59999999</v>
      </c>
      <c r="F1163" t="s">
        <v>48</v>
      </c>
      <c r="G1163">
        <v>348</v>
      </c>
      <c r="H1163" s="1">
        <f t="shared" si="18"/>
        <v>55731</v>
      </c>
      <c r="I1163" t="s">
        <v>15</v>
      </c>
      <c r="J1163" s="1">
        <v>45118</v>
      </c>
      <c r="K1163" t="s">
        <v>39</v>
      </c>
      <c r="L1163" s="3">
        <v>9.8599999999999993E-2</v>
      </c>
      <c r="M1163" t="s">
        <v>17</v>
      </c>
      <c r="N1163" t="s">
        <v>18</v>
      </c>
      <c r="O1163">
        <v>483356627.60000002</v>
      </c>
      <c r="P1163" s="1">
        <v>46022</v>
      </c>
      <c r="R1163" s="7"/>
      <c r="S1163" s="7"/>
    </row>
    <row r="1164" spans="1:19" x14ac:dyDescent="0.3">
      <c r="A1164" t="s">
        <v>1212</v>
      </c>
      <c r="B1164" t="s">
        <v>24</v>
      </c>
      <c r="C1164" t="s">
        <v>25</v>
      </c>
      <c r="D1164" s="5">
        <v>340662</v>
      </c>
      <c r="E1164">
        <v>309200.74</v>
      </c>
      <c r="F1164" t="s">
        <v>14</v>
      </c>
      <c r="G1164">
        <v>96</v>
      </c>
      <c r="H1164" s="1">
        <f t="shared" si="18"/>
        <v>46996</v>
      </c>
      <c r="I1164" t="s">
        <v>15</v>
      </c>
      <c r="J1164" s="1">
        <v>44060</v>
      </c>
      <c r="K1164" t="s">
        <v>81</v>
      </c>
      <c r="L1164" s="3">
        <v>2.06E-2</v>
      </c>
      <c r="M1164" t="s">
        <v>17</v>
      </c>
      <c r="N1164" t="s">
        <v>26</v>
      </c>
      <c r="O1164">
        <v>442572.78</v>
      </c>
      <c r="P1164" s="1">
        <v>46022</v>
      </c>
      <c r="R1164" s="7"/>
      <c r="S1164" s="7"/>
    </row>
    <row r="1165" spans="1:19" x14ac:dyDescent="0.3">
      <c r="A1165" t="s">
        <v>1213</v>
      </c>
      <c r="B1165" t="s">
        <v>24</v>
      </c>
      <c r="C1165" t="s">
        <v>25</v>
      </c>
      <c r="D1165" s="5">
        <v>113600</v>
      </c>
      <c r="E1165">
        <v>37552.89</v>
      </c>
      <c r="F1165" t="s">
        <v>14</v>
      </c>
      <c r="G1165">
        <v>240</v>
      </c>
      <c r="H1165" s="1">
        <f t="shared" si="18"/>
        <v>48883</v>
      </c>
      <c r="I1165" t="s">
        <v>15</v>
      </c>
      <c r="J1165" s="1">
        <v>41551</v>
      </c>
      <c r="K1165" t="s">
        <v>22</v>
      </c>
      <c r="L1165" s="3">
        <v>4.53E-2</v>
      </c>
      <c r="M1165" t="s">
        <v>17</v>
      </c>
      <c r="N1165" t="s">
        <v>26</v>
      </c>
      <c r="O1165">
        <v>134798.42000000001</v>
      </c>
      <c r="P1165" s="1">
        <v>46022</v>
      </c>
      <c r="R1165" s="7"/>
      <c r="S1165" s="7"/>
    </row>
    <row r="1166" spans="1:19" x14ac:dyDescent="0.3">
      <c r="A1166" t="s">
        <v>1214</v>
      </c>
      <c r="B1166" t="s">
        <v>37</v>
      </c>
      <c r="C1166" t="s">
        <v>144</v>
      </c>
      <c r="D1166" s="5">
        <v>482857531</v>
      </c>
      <c r="E1166">
        <v>144174476.40000001</v>
      </c>
      <c r="F1166" t="s">
        <v>14</v>
      </c>
      <c r="G1166">
        <v>72</v>
      </c>
      <c r="H1166" s="1">
        <f t="shared" si="18"/>
        <v>46418</v>
      </c>
      <c r="I1166" t="s">
        <v>15</v>
      </c>
      <c r="J1166" s="1">
        <v>44210</v>
      </c>
      <c r="K1166" t="s">
        <v>22</v>
      </c>
      <c r="L1166" s="3">
        <v>3.8800000000000001E-2</v>
      </c>
      <c r="M1166" t="s">
        <v>17</v>
      </c>
      <c r="N1166" t="s">
        <v>42</v>
      </c>
      <c r="O1166">
        <v>638763945</v>
      </c>
      <c r="P1166" s="1">
        <v>46022</v>
      </c>
      <c r="R1166" s="7"/>
      <c r="S1166" s="7"/>
    </row>
    <row r="1167" spans="1:19" x14ac:dyDescent="0.3">
      <c r="A1167" t="s">
        <v>1215</v>
      </c>
      <c r="B1167" t="s">
        <v>24</v>
      </c>
      <c r="C1167" t="s">
        <v>41</v>
      </c>
      <c r="D1167" s="5">
        <v>32580</v>
      </c>
      <c r="E1167">
        <v>7308.19</v>
      </c>
      <c r="F1167" t="s">
        <v>14</v>
      </c>
      <c r="G1167">
        <v>210</v>
      </c>
      <c r="H1167" s="1">
        <f t="shared" si="18"/>
        <v>49613</v>
      </c>
      <c r="I1167" t="s">
        <v>15</v>
      </c>
      <c r="J1167" s="1">
        <v>43196</v>
      </c>
      <c r="K1167" t="s">
        <v>22</v>
      </c>
      <c r="L1167" s="3">
        <v>5.4000000000000006E-2</v>
      </c>
      <c r="M1167" t="s">
        <v>17</v>
      </c>
      <c r="N1167" t="s">
        <v>42</v>
      </c>
      <c r="O1167">
        <v>34924.99</v>
      </c>
      <c r="P1167" s="1">
        <v>46022</v>
      </c>
      <c r="R1167" s="7"/>
      <c r="S1167" s="7"/>
    </row>
    <row r="1168" spans="1:19" x14ac:dyDescent="0.3">
      <c r="A1168" t="s">
        <v>1216</v>
      </c>
      <c r="B1168" t="s">
        <v>12</v>
      </c>
      <c r="C1168" t="s">
        <v>13</v>
      </c>
      <c r="D1168" s="5">
        <v>34125288</v>
      </c>
      <c r="E1168">
        <v>29798221.43</v>
      </c>
      <c r="F1168" t="s">
        <v>33</v>
      </c>
      <c r="G1168">
        <v>294</v>
      </c>
      <c r="H1168" s="1">
        <f t="shared" si="18"/>
        <v>52627</v>
      </c>
      <c r="I1168" t="s">
        <v>15</v>
      </c>
      <c r="J1168" s="1">
        <v>43665</v>
      </c>
      <c r="K1168" t="s">
        <v>22</v>
      </c>
      <c r="L1168" s="3">
        <v>4.3200000000000002E-2</v>
      </c>
      <c r="M1168" t="s">
        <v>29</v>
      </c>
      <c r="N1168" t="s">
        <v>30</v>
      </c>
      <c r="O1168">
        <v>0</v>
      </c>
      <c r="P1168" s="1">
        <v>46022</v>
      </c>
      <c r="R1168" s="7"/>
      <c r="S1168" s="7"/>
    </row>
    <row r="1169" spans="1:19" x14ac:dyDescent="0.3">
      <c r="A1169" t="s">
        <v>1217</v>
      </c>
      <c r="B1169" t="s">
        <v>24</v>
      </c>
      <c r="C1169" t="s">
        <v>32</v>
      </c>
      <c r="D1169" s="5">
        <v>35625</v>
      </c>
      <c r="E1169">
        <v>19595.54</v>
      </c>
      <c r="F1169" t="s">
        <v>33</v>
      </c>
      <c r="G1169">
        <v>126</v>
      </c>
      <c r="H1169" s="1">
        <f t="shared" si="18"/>
        <v>47907</v>
      </c>
      <c r="I1169" t="s">
        <v>15</v>
      </c>
      <c r="J1169" s="1">
        <v>44060</v>
      </c>
      <c r="K1169" t="s">
        <v>22</v>
      </c>
      <c r="L1169" s="3">
        <v>3.0699999999999998E-2</v>
      </c>
      <c r="M1169" t="s">
        <v>29</v>
      </c>
      <c r="N1169" t="s">
        <v>30</v>
      </c>
      <c r="O1169">
        <v>0</v>
      </c>
      <c r="P1169" s="1">
        <v>46022</v>
      </c>
      <c r="R1169" s="7"/>
      <c r="S1169" s="7"/>
    </row>
    <row r="1170" spans="1:19" x14ac:dyDescent="0.3">
      <c r="A1170" t="s">
        <v>1218</v>
      </c>
      <c r="B1170" t="s">
        <v>24</v>
      </c>
      <c r="C1170" t="s">
        <v>32</v>
      </c>
      <c r="D1170" s="5">
        <v>30890</v>
      </c>
      <c r="E1170">
        <v>21851.96</v>
      </c>
      <c r="F1170" t="s">
        <v>33</v>
      </c>
      <c r="G1170">
        <v>300</v>
      </c>
      <c r="H1170" s="1">
        <f t="shared" si="18"/>
        <v>52901</v>
      </c>
      <c r="I1170" t="s">
        <v>15</v>
      </c>
      <c r="J1170" s="1">
        <v>43759</v>
      </c>
      <c r="K1170" t="s">
        <v>22</v>
      </c>
      <c r="L1170" s="3">
        <v>4.2699999999999995E-2</v>
      </c>
      <c r="M1170" t="s">
        <v>29</v>
      </c>
      <c r="N1170" t="s">
        <v>30</v>
      </c>
      <c r="O1170">
        <v>0</v>
      </c>
      <c r="P1170" s="1">
        <v>46022</v>
      </c>
      <c r="R1170" s="7"/>
      <c r="S1170" s="7"/>
    </row>
    <row r="1171" spans="1:19" x14ac:dyDescent="0.3">
      <c r="A1171" t="s">
        <v>1219</v>
      </c>
      <c r="B1171" t="s">
        <v>24</v>
      </c>
      <c r="C1171" t="s">
        <v>28</v>
      </c>
      <c r="D1171" s="5">
        <v>16332</v>
      </c>
      <c r="E1171">
        <v>5147.33</v>
      </c>
      <c r="F1171" t="s">
        <v>14</v>
      </c>
      <c r="G1171">
        <v>258</v>
      </c>
      <c r="H1171" s="1">
        <f t="shared" si="18"/>
        <v>51591</v>
      </c>
      <c r="I1171" t="s">
        <v>15</v>
      </c>
      <c r="J1171" s="1">
        <v>43721</v>
      </c>
      <c r="K1171" t="s">
        <v>39</v>
      </c>
      <c r="L1171" s="3">
        <v>6.8199999999999997E-2</v>
      </c>
      <c r="M1171" t="s">
        <v>29</v>
      </c>
      <c r="N1171" t="s">
        <v>30</v>
      </c>
      <c r="O1171">
        <v>0</v>
      </c>
      <c r="P1171" s="1">
        <v>46022</v>
      </c>
      <c r="R1171" s="7"/>
      <c r="S1171" s="7"/>
    </row>
    <row r="1172" spans="1:19" x14ac:dyDescent="0.3">
      <c r="A1172" t="s">
        <v>1220</v>
      </c>
      <c r="B1172" t="s">
        <v>37</v>
      </c>
      <c r="C1172" t="s">
        <v>144</v>
      </c>
      <c r="D1172" s="5">
        <v>142837164</v>
      </c>
      <c r="E1172">
        <v>111732426.2</v>
      </c>
      <c r="F1172" t="s">
        <v>48</v>
      </c>
      <c r="G1172">
        <v>216</v>
      </c>
      <c r="H1172" s="1">
        <f t="shared" si="18"/>
        <v>47938</v>
      </c>
      <c r="I1172" t="s">
        <v>15</v>
      </c>
      <c r="J1172" s="1">
        <v>41346</v>
      </c>
      <c r="K1172" t="s">
        <v>16</v>
      </c>
      <c r="L1172" s="3">
        <v>9.5700000000000007E-2</v>
      </c>
      <c r="M1172" t="s">
        <v>17</v>
      </c>
      <c r="N1172" t="s">
        <v>18</v>
      </c>
      <c r="O1172">
        <v>200891042.80000001</v>
      </c>
      <c r="P1172" s="1">
        <v>46022</v>
      </c>
      <c r="R1172" s="7"/>
      <c r="S1172" s="7"/>
    </row>
    <row r="1173" spans="1:19" x14ac:dyDescent="0.3">
      <c r="A1173" t="s">
        <v>1221</v>
      </c>
      <c r="B1173" t="s">
        <v>24</v>
      </c>
      <c r="C1173" t="s">
        <v>25</v>
      </c>
      <c r="D1173" s="5">
        <v>637901</v>
      </c>
      <c r="E1173">
        <v>500117.92</v>
      </c>
      <c r="F1173" t="s">
        <v>14</v>
      </c>
      <c r="G1173">
        <v>288</v>
      </c>
      <c r="H1173" s="1">
        <f t="shared" si="18"/>
        <v>49368</v>
      </c>
      <c r="I1173" t="s">
        <v>15</v>
      </c>
      <c r="J1173" s="1">
        <v>40597</v>
      </c>
      <c r="K1173" t="s">
        <v>35</v>
      </c>
      <c r="L1173" s="3">
        <v>4.5599999999999995E-2</v>
      </c>
      <c r="M1173" t="s">
        <v>17</v>
      </c>
      <c r="N1173" t="s">
        <v>26</v>
      </c>
      <c r="O1173">
        <v>810691.53</v>
      </c>
      <c r="P1173" s="1">
        <v>46022</v>
      </c>
      <c r="R1173" s="7"/>
      <c r="S1173" s="7"/>
    </row>
    <row r="1174" spans="1:19" x14ac:dyDescent="0.3">
      <c r="A1174" t="s">
        <v>1222</v>
      </c>
      <c r="B1174" t="s">
        <v>24</v>
      </c>
      <c r="C1174" t="s">
        <v>28</v>
      </c>
      <c r="D1174" s="5">
        <v>43439</v>
      </c>
      <c r="E1174">
        <v>16564.830000000002</v>
      </c>
      <c r="F1174" t="s">
        <v>48</v>
      </c>
      <c r="G1174">
        <v>102</v>
      </c>
      <c r="H1174" s="1">
        <f t="shared" si="18"/>
        <v>47817</v>
      </c>
      <c r="I1174" t="s">
        <v>15</v>
      </c>
      <c r="J1174" s="1">
        <v>44684</v>
      </c>
      <c r="K1174" t="s">
        <v>56</v>
      </c>
      <c r="L1174" s="3">
        <v>4.1100000000000005E-2</v>
      </c>
      <c r="M1174" t="s">
        <v>29</v>
      </c>
      <c r="N1174" t="s">
        <v>30</v>
      </c>
      <c r="O1174">
        <v>0</v>
      </c>
      <c r="P1174" s="1">
        <v>46022</v>
      </c>
      <c r="R1174" s="7"/>
      <c r="S1174" s="7"/>
    </row>
    <row r="1175" spans="1:19" x14ac:dyDescent="0.3">
      <c r="A1175" t="s">
        <v>1223</v>
      </c>
      <c r="B1175" t="s">
        <v>24</v>
      </c>
      <c r="C1175" t="s">
        <v>28</v>
      </c>
      <c r="D1175" s="5">
        <v>47390</v>
      </c>
      <c r="E1175">
        <v>22255</v>
      </c>
      <c r="F1175" t="s">
        <v>33</v>
      </c>
      <c r="G1175">
        <v>192</v>
      </c>
      <c r="H1175" s="1">
        <f t="shared" si="18"/>
        <v>47817</v>
      </c>
      <c r="I1175" t="s">
        <v>15</v>
      </c>
      <c r="J1175" s="1">
        <v>41950</v>
      </c>
      <c r="K1175" t="s">
        <v>16</v>
      </c>
      <c r="L1175" s="3">
        <v>9.74E-2</v>
      </c>
      <c r="M1175" t="s">
        <v>29</v>
      </c>
      <c r="N1175" t="s">
        <v>30</v>
      </c>
      <c r="O1175">
        <v>0</v>
      </c>
      <c r="P1175" s="1">
        <v>46022</v>
      </c>
      <c r="R1175" s="7"/>
      <c r="S1175" s="7"/>
    </row>
    <row r="1176" spans="1:19" x14ac:dyDescent="0.3">
      <c r="A1176" t="s">
        <v>1224</v>
      </c>
      <c r="B1176" t="s">
        <v>24</v>
      </c>
      <c r="C1176" t="s">
        <v>32</v>
      </c>
      <c r="D1176" s="5">
        <v>6189</v>
      </c>
      <c r="E1176">
        <v>1787.01</v>
      </c>
      <c r="F1176" t="s">
        <v>33</v>
      </c>
      <c r="G1176">
        <v>246</v>
      </c>
      <c r="H1176" s="1">
        <f t="shared" si="18"/>
        <v>52170</v>
      </c>
      <c r="I1176" t="s">
        <v>15</v>
      </c>
      <c r="J1176" s="1">
        <v>44662</v>
      </c>
      <c r="K1176" t="s">
        <v>22</v>
      </c>
      <c r="L1176" s="3">
        <v>5.04E-2</v>
      </c>
      <c r="M1176" t="s">
        <v>29</v>
      </c>
      <c r="N1176" t="s">
        <v>30</v>
      </c>
      <c r="O1176">
        <v>0</v>
      </c>
      <c r="P1176" s="1">
        <v>46022</v>
      </c>
      <c r="R1176" s="7"/>
      <c r="S1176" s="7"/>
    </row>
    <row r="1177" spans="1:19" x14ac:dyDescent="0.3">
      <c r="A1177" t="s">
        <v>1225</v>
      </c>
      <c r="B1177" t="s">
        <v>20</v>
      </c>
      <c r="C1177" t="s">
        <v>89</v>
      </c>
      <c r="D1177" s="5">
        <v>816402</v>
      </c>
      <c r="E1177">
        <v>799179.57</v>
      </c>
      <c r="F1177" t="s">
        <v>48</v>
      </c>
      <c r="G1177">
        <v>60</v>
      </c>
      <c r="H1177" s="1">
        <f t="shared" si="18"/>
        <v>46265</v>
      </c>
      <c r="I1177" t="s">
        <v>15</v>
      </c>
      <c r="J1177" s="1">
        <v>44421</v>
      </c>
      <c r="K1177" t="s">
        <v>22</v>
      </c>
      <c r="L1177" s="3">
        <v>4.3700000000000003E-2</v>
      </c>
      <c r="M1177" t="s">
        <v>29</v>
      </c>
      <c r="N1177" t="s">
        <v>30</v>
      </c>
      <c r="O1177">
        <v>0</v>
      </c>
      <c r="P1177" s="1">
        <v>46022</v>
      </c>
      <c r="R1177" s="7"/>
      <c r="S1177" s="7"/>
    </row>
    <row r="1178" spans="1:19" x14ac:dyDescent="0.3">
      <c r="A1178" t="s">
        <v>1226</v>
      </c>
      <c r="B1178" t="s">
        <v>24</v>
      </c>
      <c r="C1178" t="s">
        <v>25</v>
      </c>
      <c r="D1178" s="5">
        <v>950263</v>
      </c>
      <c r="E1178">
        <v>647169.06999999995</v>
      </c>
      <c r="F1178" t="s">
        <v>14</v>
      </c>
      <c r="G1178">
        <v>144</v>
      </c>
      <c r="H1178" s="1">
        <f t="shared" si="18"/>
        <v>48426</v>
      </c>
      <c r="I1178" t="s">
        <v>15</v>
      </c>
      <c r="J1178" s="1">
        <v>44040</v>
      </c>
      <c r="K1178" t="s">
        <v>22</v>
      </c>
      <c r="L1178" s="3">
        <v>3.6200000000000003E-2</v>
      </c>
      <c r="M1178" t="s">
        <v>17</v>
      </c>
      <c r="N1178" t="s">
        <v>26</v>
      </c>
      <c r="O1178">
        <v>1344068.39</v>
      </c>
      <c r="P1178" s="1">
        <v>46022</v>
      </c>
      <c r="R1178" s="7"/>
      <c r="S1178" s="7"/>
    </row>
    <row r="1179" spans="1:19" x14ac:dyDescent="0.3">
      <c r="A1179" t="s">
        <v>1227</v>
      </c>
      <c r="B1179" t="s">
        <v>24</v>
      </c>
      <c r="C1179" t="s">
        <v>25</v>
      </c>
      <c r="D1179" s="5">
        <v>762882</v>
      </c>
      <c r="E1179">
        <v>717939.96</v>
      </c>
      <c r="F1179" t="s">
        <v>14</v>
      </c>
      <c r="G1179">
        <v>162</v>
      </c>
      <c r="H1179" s="1">
        <f t="shared" si="18"/>
        <v>48548</v>
      </c>
      <c r="I1179" t="s">
        <v>15</v>
      </c>
      <c r="J1179" s="1">
        <v>43612</v>
      </c>
      <c r="K1179" t="s">
        <v>35</v>
      </c>
      <c r="L1179" s="3">
        <v>3.3000000000000002E-2</v>
      </c>
      <c r="M1179" t="s">
        <v>17</v>
      </c>
      <c r="N1179" t="s">
        <v>26</v>
      </c>
      <c r="O1179">
        <v>906273.92</v>
      </c>
      <c r="P1179" s="1">
        <v>46022</v>
      </c>
      <c r="R1179" s="7"/>
      <c r="S1179" s="7"/>
    </row>
    <row r="1180" spans="1:19" x14ac:dyDescent="0.3">
      <c r="A1180" t="s">
        <v>1228</v>
      </c>
      <c r="B1180" t="s">
        <v>37</v>
      </c>
      <c r="C1180" t="s">
        <v>144</v>
      </c>
      <c r="D1180" s="5">
        <v>442666974</v>
      </c>
      <c r="E1180">
        <v>165135582</v>
      </c>
      <c r="F1180" t="s">
        <v>14</v>
      </c>
      <c r="G1180">
        <v>120</v>
      </c>
      <c r="H1180" s="1">
        <f t="shared" si="18"/>
        <v>48426</v>
      </c>
      <c r="I1180" t="s">
        <v>15</v>
      </c>
      <c r="J1180" s="1">
        <v>44747</v>
      </c>
      <c r="K1180" t="s">
        <v>22</v>
      </c>
      <c r="L1180" s="3">
        <v>5.0900000000000001E-2</v>
      </c>
      <c r="M1180" t="s">
        <v>29</v>
      </c>
      <c r="N1180" t="s">
        <v>30</v>
      </c>
      <c r="O1180">
        <v>0</v>
      </c>
      <c r="P1180" s="1">
        <v>46022</v>
      </c>
      <c r="R1180" s="7"/>
      <c r="S1180" s="7"/>
    </row>
    <row r="1181" spans="1:19" x14ac:dyDescent="0.3">
      <c r="A1181" t="s">
        <v>1229</v>
      </c>
      <c r="B1181" t="s">
        <v>37</v>
      </c>
      <c r="C1181" t="s">
        <v>144</v>
      </c>
      <c r="D1181" s="5">
        <v>109289991</v>
      </c>
      <c r="E1181">
        <v>87836564.640000001</v>
      </c>
      <c r="F1181" t="s">
        <v>14</v>
      </c>
      <c r="G1181">
        <v>150</v>
      </c>
      <c r="H1181" s="1">
        <f t="shared" si="18"/>
        <v>48244</v>
      </c>
      <c r="I1181" t="s">
        <v>15</v>
      </c>
      <c r="J1181" s="1">
        <v>43672</v>
      </c>
      <c r="K1181" t="s">
        <v>22</v>
      </c>
      <c r="L1181" s="3">
        <v>4.2300000000000004E-2</v>
      </c>
      <c r="M1181" t="s">
        <v>17</v>
      </c>
      <c r="N1181" t="s">
        <v>54</v>
      </c>
      <c r="O1181">
        <v>142278255.19999999</v>
      </c>
      <c r="P1181" s="1">
        <v>46022</v>
      </c>
      <c r="R1181" s="7"/>
      <c r="S1181" s="7"/>
    </row>
    <row r="1182" spans="1:19" x14ac:dyDescent="0.3">
      <c r="A1182" t="s">
        <v>1230</v>
      </c>
      <c r="B1182" t="s">
        <v>20</v>
      </c>
      <c r="C1182" t="s">
        <v>51</v>
      </c>
      <c r="D1182" s="5">
        <v>2958550</v>
      </c>
      <c r="E1182">
        <v>2335103.0299999998</v>
      </c>
      <c r="F1182" t="s">
        <v>14</v>
      </c>
      <c r="G1182">
        <v>60</v>
      </c>
      <c r="H1182" s="1">
        <f t="shared" si="18"/>
        <v>45077</v>
      </c>
      <c r="I1182" t="s">
        <v>15</v>
      </c>
      <c r="J1182" s="1">
        <v>43224</v>
      </c>
      <c r="K1182" t="s">
        <v>35</v>
      </c>
      <c r="L1182" s="3">
        <v>4.0399999999999998E-2</v>
      </c>
      <c r="M1182" t="s">
        <v>29</v>
      </c>
      <c r="N1182" t="s">
        <v>30</v>
      </c>
      <c r="O1182">
        <v>0</v>
      </c>
      <c r="P1182" s="1">
        <v>46022</v>
      </c>
      <c r="R1182" s="7"/>
      <c r="S1182" s="7"/>
    </row>
    <row r="1183" spans="1:19" x14ac:dyDescent="0.3">
      <c r="A1183" t="s">
        <v>1231</v>
      </c>
      <c r="B1183" t="s">
        <v>24</v>
      </c>
      <c r="C1183" t="s">
        <v>28</v>
      </c>
      <c r="D1183" s="5">
        <v>35356</v>
      </c>
      <c r="E1183">
        <v>25544.240000000002</v>
      </c>
      <c r="F1183" t="s">
        <v>48</v>
      </c>
      <c r="G1183">
        <v>60</v>
      </c>
      <c r="H1183" s="1">
        <f t="shared" si="18"/>
        <v>45199</v>
      </c>
      <c r="I1183" t="s">
        <v>15</v>
      </c>
      <c r="J1183" s="1">
        <v>43356</v>
      </c>
      <c r="K1183" t="s">
        <v>22</v>
      </c>
      <c r="L1183" s="3">
        <v>4.5499999999999999E-2</v>
      </c>
      <c r="M1183" t="s">
        <v>29</v>
      </c>
      <c r="N1183" t="s">
        <v>30</v>
      </c>
      <c r="O1183">
        <v>0</v>
      </c>
      <c r="P1183" s="1">
        <v>46022</v>
      </c>
      <c r="R1183" s="7"/>
      <c r="S1183" s="7"/>
    </row>
    <row r="1184" spans="1:19" x14ac:dyDescent="0.3">
      <c r="A1184" t="s">
        <v>1232</v>
      </c>
      <c r="B1184" t="s">
        <v>12</v>
      </c>
      <c r="C1184" t="s">
        <v>61</v>
      </c>
      <c r="D1184" s="5">
        <v>34325482</v>
      </c>
      <c r="E1184">
        <v>33263969.52</v>
      </c>
      <c r="F1184" t="s">
        <v>14</v>
      </c>
      <c r="G1184">
        <v>168</v>
      </c>
      <c r="H1184" s="1">
        <f t="shared" si="18"/>
        <v>48182</v>
      </c>
      <c r="I1184" t="s">
        <v>15</v>
      </c>
      <c r="J1184" s="1">
        <v>43042</v>
      </c>
      <c r="K1184" t="s">
        <v>39</v>
      </c>
      <c r="L1184" s="3">
        <v>6.7699999999999996E-2</v>
      </c>
      <c r="M1184" t="s">
        <v>17</v>
      </c>
      <c r="N1184" t="s">
        <v>26</v>
      </c>
      <c r="O1184">
        <v>62512288.719999999</v>
      </c>
      <c r="P1184" s="1">
        <v>46022</v>
      </c>
      <c r="R1184" s="7"/>
      <c r="S1184" s="7"/>
    </row>
    <row r="1185" spans="1:19" x14ac:dyDescent="0.3">
      <c r="A1185" t="s">
        <v>1233</v>
      </c>
      <c r="B1185" t="s">
        <v>37</v>
      </c>
      <c r="C1185" t="s">
        <v>144</v>
      </c>
      <c r="D1185" s="5">
        <v>209994329</v>
      </c>
      <c r="E1185">
        <v>95379382.540000007</v>
      </c>
      <c r="F1185" t="s">
        <v>14</v>
      </c>
      <c r="G1185">
        <v>318</v>
      </c>
      <c r="H1185" s="1">
        <f t="shared" si="18"/>
        <v>50344</v>
      </c>
      <c r="I1185" t="s">
        <v>15</v>
      </c>
      <c r="J1185" s="1">
        <v>40644</v>
      </c>
      <c r="K1185" t="s">
        <v>22</v>
      </c>
      <c r="L1185" s="3">
        <v>5.8799999999999998E-2</v>
      </c>
      <c r="M1185" t="s">
        <v>17</v>
      </c>
      <c r="N1185" t="s">
        <v>26</v>
      </c>
      <c r="O1185">
        <v>339280887</v>
      </c>
      <c r="P1185" s="1">
        <v>46022</v>
      </c>
      <c r="R1185" s="7"/>
      <c r="S1185" s="7"/>
    </row>
    <row r="1186" spans="1:19" x14ac:dyDescent="0.3">
      <c r="A1186" t="s">
        <v>1234</v>
      </c>
      <c r="B1186" t="s">
        <v>20</v>
      </c>
      <c r="C1186" t="s">
        <v>21</v>
      </c>
      <c r="D1186" s="5">
        <v>126205</v>
      </c>
      <c r="E1186">
        <v>27467.9</v>
      </c>
      <c r="F1186" t="s">
        <v>14</v>
      </c>
      <c r="G1186">
        <v>228</v>
      </c>
      <c r="H1186" s="1">
        <f t="shared" si="18"/>
        <v>50648</v>
      </c>
      <c r="I1186" t="s">
        <v>15</v>
      </c>
      <c r="J1186" s="1">
        <v>43698</v>
      </c>
      <c r="K1186" t="s">
        <v>56</v>
      </c>
      <c r="L1186" s="3">
        <v>3.3500000000000002E-2</v>
      </c>
      <c r="M1186" t="s">
        <v>17</v>
      </c>
      <c r="N1186" t="s">
        <v>42</v>
      </c>
      <c r="O1186">
        <v>207086.57</v>
      </c>
      <c r="P1186" s="1">
        <v>46022</v>
      </c>
      <c r="R1186" s="7"/>
      <c r="S1186" s="7"/>
    </row>
    <row r="1187" spans="1:19" x14ac:dyDescent="0.3">
      <c r="A1187" t="s">
        <v>1235</v>
      </c>
      <c r="B1187" t="s">
        <v>12</v>
      </c>
      <c r="C1187" t="s">
        <v>63</v>
      </c>
      <c r="D1187" s="5">
        <v>29563377</v>
      </c>
      <c r="E1187">
        <v>20828521.559999999</v>
      </c>
      <c r="F1187" t="s">
        <v>33</v>
      </c>
      <c r="G1187">
        <v>60</v>
      </c>
      <c r="H1187" s="1">
        <f t="shared" si="18"/>
        <v>45473</v>
      </c>
      <c r="I1187" t="s">
        <v>15</v>
      </c>
      <c r="J1187" s="1">
        <v>43639</v>
      </c>
      <c r="K1187" t="s">
        <v>22</v>
      </c>
      <c r="L1187" s="3">
        <v>5.0999999999999997E-2</v>
      </c>
      <c r="M1187" t="s">
        <v>29</v>
      </c>
      <c r="N1187" t="s">
        <v>30</v>
      </c>
      <c r="O1187">
        <v>0</v>
      </c>
      <c r="P1187" s="1">
        <v>46022</v>
      </c>
      <c r="R1187" s="7"/>
      <c r="S1187" s="7"/>
    </row>
    <row r="1188" spans="1:19" x14ac:dyDescent="0.3">
      <c r="A1188" t="s">
        <v>1236</v>
      </c>
      <c r="B1188" t="s">
        <v>24</v>
      </c>
      <c r="C1188" t="s">
        <v>41</v>
      </c>
      <c r="D1188" s="5">
        <v>32779</v>
      </c>
      <c r="E1188">
        <v>24793.45</v>
      </c>
      <c r="F1188" t="s">
        <v>14</v>
      </c>
      <c r="G1188">
        <v>120</v>
      </c>
      <c r="H1188" s="1">
        <f t="shared" si="18"/>
        <v>46507</v>
      </c>
      <c r="I1188" t="s">
        <v>15</v>
      </c>
      <c r="J1188" s="1">
        <v>42853</v>
      </c>
      <c r="K1188" t="s">
        <v>39</v>
      </c>
      <c r="L1188" s="3">
        <v>6.9900000000000004E-2</v>
      </c>
      <c r="M1188" t="s">
        <v>17</v>
      </c>
      <c r="N1188" t="s">
        <v>42</v>
      </c>
      <c r="O1188">
        <v>33729.07</v>
      </c>
      <c r="P1188" s="1">
        <v>46022</v>
      </c>
      <c r="R1188" s="7"/>
      <c r="S1188" s="7"/>
    </row>
    <row r="1189" spans="1:19" x14ac:dyDescent="0.3">
      <c r="A1189" t="s">
        <v>1237</v>
      </c>
      <c r="B1189" t="s">
        <v>24</v>
      </c>
      <c r="C1189" t="s">
        <v>32</v>
      </c>
      <c r="D1189" s="5">
        <v>23062</v>
      </c>
      <c r="E1189">
        <v>14242.33</v>
      </c>
      <c r="F1189" t="s">
        <v>33</v>
      </c>
      <c r="G1189">
        <v>60</v>
      </c>
      <c r="H1189" s="1">
        <f t="shared" si="18"/>
        <v>45107</v>
      </c>
      <c r="I1189" t="s">
        <v>15</v>
      </c>
      <c r="J1189" s="1">
        <v>43273</v>
      </c>
      <c r="K1189" t="s">
        <v>39</v>
      </c>
      <c r="L1189" s="3">
        <v>7.1199999999999999E-2</v>
      </c>
      <c r="M1189" t="s">
        <v>29</v>
      </c>
      <c r="N1189" t="s">
        <v>30</v>
      </c>
      <c r="O1189">
        <v>0</v>
      </c>
      <c r="P1189" s="1">
        <v>46022</v>
      </c>
      <c r="R1189" s="7"/>
      <c r="S1189" s="7"/>
    </row>
    <row r="1190" spans="1:19" x14ac:dyDescent="0.3">
      <c r="A1190" t="s">
        <v>1238</v>
      </c>
      <c r="B1190" t="s">
        <v>24</v>
      </c>
      <c r="C1190" t="s">
        <v>25</v>
      </c>
      <c r="D1190" s="5">
        <v>961823</v>
      </c>
      <c r="E1190">
        <v>275212.26</v>
      </c>
      <c r="F1190" t="s">
        <v>14</v>
      </c>
      <c r="G1190">
        <v>234</v>
      </c>
      <c r="H1190" s="1">
        <f t="shared" si="18"/>
        <v>50405</v>
      </c>
      <c r="I1190" t="s">
        <v>15</v>
      </c>
      <c r="J1190" s="1">
        <v>43271</v>
      </c>
      <c r="K1190" t="s">
        <v>39</v>
      </c>
      <c r="L1190" s="3">
        <v>7.2099999999999997E-2</v>
      </c>
      <c r="M1190" t="s">
        <v>17</v>
      </c>
      <c r="N1190" t="s">
        <v>26</v>
      </c>
      <c r="O1190">
        <v>1264677.1499999999</v>
      </c>
      <c r="P1190" s="1">
        <v>46022</v>
      </c>
      <c r="R1190" s="7"/>
      <c r="S1190" s="7"/>
    </row>
    <row r="1191" spans="1:19" x14ac:dyDescent="0.3">
      <c r="A1191" t="s">
        <v>1239</v>
      </c>
      <c r="B1191" t="s">
        <v>24</v>
      </c>
      <c r="C1191" t="s">
        <v>28</v>
      </c>
      <c r="D1191" s="5">
        <v>20553</v>
      </c>
      <c r="E1191">
        <v>11386.43</v>
      </c>
      <c r="F1191" t="s">
        <v>48</v>
      </c>
      <c r="G1191">
        <v>198</v>
      </c>
      <c r="H1191" s="1">
        <f t="shared" si="18"/>
        <v>50464</v>
      </c>
      <c r="I1191" t="s">
        <v>15</v>
      </c>
      <c r="J1191" s="1">
        <v>44412</v>
      </c>
      <c r="K1191" t="s">
        <v>35</v>
      </c>
      <c r="L1191" s="3">
        <v>3.04E-2</v>
      </c>
      <c r="M1191" t="s">
        <v>29</v>
      </c>
      <c r="N1191" t="s">
        <v>30</v>
      </c>
      <c r="O1191">
        <v>0</v>
      </c>
      <c r="P1191" s="1">
        <v>46022</v>
      </c>
      <c r="R1191" s="7"/>
      <c r="S1191" s="7"/>
    </row>
    <row r="1192" spans="1:19" x14ac:dyDescent="0.3">
      <c r="A1192" t="s">
        <v>1240</v>
      </c>
      <c r="B1192" t="s">
        <v>20</v>
      </c>
      <c r="C1192" t="s">
        <v>47</v>
      </c>
      <c r="D1192" s="5">
        <v>4207018</v>
      </c>
      <c r="E1192">
        <v>1602750.84</v>
      </c>
      <c r="F1192" t="s">
        <v>48</v>
      </c>
      <c r="G1192">
        <v>330</v>
      </c>
      <c r="H1192" s="1">
        <f t="shared" si="18"/>
        <v>51440</v>
      </c>
      <c r="I1192" t="s">
        <v>15</v>
      </c>
      <c r="J1192" s="1">
        <v>41368</v>
      </c>
      <c r="K1192" t="s">
        <v>39</v>
      </c>
      <c r="L1192" s="3">
        <v>6.3099999999999989E-2</v>
      </c>
      <c r="M1192" t="s">
        <v>17</v>
      </c>
      <c r="N1192" t="s">
        <v>18</v>
      </c>
      <c r="O1192">
        <v>6200406.6200000001</v>
      </c>
      <c r="P1192" s="1">
        <v>46022</v>
      </c>
      <c r="R1192" s="7"/>
      <c r="S1192" s="7"/>
    </row>
    <row r="1193" spans="1:19" x14ac:dyDescent="0.3">
      <c r="A1193" t="s">
        <v>1241</v>
      </c>
      <c r="B1193" t="s">
        <v>12</v>
      </c>
      <c r="C1193" t="s">
        <v>13</v>
      </c>
      <c r="D1193" s="5">
        <v>10238490</v>
      </c>
      <c r="E1193">
        <v>4962799.4400000004</v>
      </c>
      <c r="F1193" t="s">
        <v>48</v>
      </c>
      <c r="G1193">
        <v>60</v>
      </c>
      <c r="H1193" s="1">
        <f t="shared" si="18"/>
        <v>45291</v>
      </c>
      <c r="I1193" t="s">
        <v>15</v>
      </c>
      <c r="J1193" s="1">
        <v>43458</v>
      </c>
      <c r="K1193" t="s">
        <v>39</v>
      </c>
      <c r="L1193" s="3">
        <v>6.93E-2</v>
      </c>
      <c r="M1193" t="s">
        <v>17</v>
      </c>
      <c r="N1193" t="s">
        <v>54</v>
      </c>
      <c r="O1193">
        <v>16326854.6</v>
      </c>
      <c r="P1193" s="1">
        <v>46022</v>
      </c>
      <c r="R1193" s="7"/>
      <c r="S1193" s="7"/>
    </row>
    <row r="1194" spans="1:19" x14ac:dyDescent="0.3">
      <c r="A1194" t="s">
        <v>1242</v>
      </c>
      <c r="B1194" t="s">
        <v>12</v>
      </c>
      <c r="C1194" t="s">
        <v>61</v>
      </c>
      <c r="D1194" s="5">
        <v>33950564</v>
      </c>
      <c r="E1194">
        <v>23110037.77</v>
      </c>
      <c r="F1194" t="s">
        <v>33</v>
      </c>
      <c r="G1194">
        <v>222</v>
      </c>
      <c r="H1194" s="1">
        <f t="shared" si="18"/>
        <v>52078</v>
      </c>
      <c r="I1194" t="s">
        <v>15</v>
      </c>
      <c r="J1194" s="1">
        <v>45303</v>
      </c>
      <c r="K1194" t="s">
        <v>56</v>
      </c>
      <c r="L1194" s="3">
        <v>5.8499999999999996E-2</v>
      </c>
      <c r="M1194" t="s">
        <v>17</v>
      </c>
      <c r="N1194" t="s">
        <v>54</v>
      </c>
      <c r="O1194">
        <v>51969728.710000001</v>
      </c>
      <c r="P1194" s="1">
        <v>46022</v>
      </c>
      <c r="R1194" s="7"/>
      <c r="S1194" s="7"/>
    </row>
    <row r="1195" spans="1:19" x14ac:dyDescent="0.3">
      <c r="A1195" t="s">
        <v>1243</v>
      </c>
      <c r="B1195" t="s">
        <v>24</v>
      </c>
      <c r="C1195" t="s">
        <v>25</v>
      </c>
      <c r="D1195" s="5">
        <v>979306</v>
      </c>
      <c r="E1195">
        <v>754744.74</v>
      </c>
      <c r="F1195" t="s">
        <v>14</v>
      </c>
      <c r="G1195">
        <v>60</v>
      </c>
      <c r="H1195" s="1">
        <f t="shared" si="18"/>
        <v>45138</v>
      </c>
      <c r="I1195" t="s">
        <v>15</v>
      </c>
      <c r="J1195" s="1">
        <v>43294</v>
      </c>
      <c r="K1195" t="s">
        <v>22</v>
      </c>
      <c r="L1195" s="3">
        <v>5.7800000000000004E-2</v>
      </c>
      <c r="M1195" t="s">
        <v>17</v>
      </c>
      <c r="N1195" t="s">
        <v>26</v>
      </c>
      <c r="O1195">
        <v>1185067.51</v>
      </c>
      <c r="P1195" s="1">
        <v>46022</v>
      </c>
      <c r="R1195" s="7"/>
      <c r="S1195" s="7"/>
    </row>
    <row r="1196" spans="1:19" x14ac:dyDescent="0.3">
      <c r="A1196" t="s">
        <v>1244</v>
      </c>
      <c r="B1196" t="s">
        <v>37</v>
      </c>
      <c r="C1196" t="s">
        <v>38</v>
      </c>
      <c r="D1196" s="5">
        <v>59927619</v>
      </c>
      <c r="E1196">
        <v>18517767.550000001</v>
      </c>
      <c r="F1196" t="s">
        <v>48</v>
      </c>
      <c r="G1196">
        <v>270</v>
      </c>
      <c r="H1196" s="1">
        <f t="shared" si="18"/>
        <v>53539</v>
      </c>
      <c r="I1196" t="s">
        <v>15</v>
      </c>
      <c r="J1196" s="1">
        <v>45314</v>
      </c>
      <c r="K1196" t="s">
        <v>22</v>
      </c>
      <c r="L1196" s="3">
        <v>6.7699999999999996E-2</v>
      </c>
      <c r="M1196" t="s">
        <v>17</v>
      </c>
      <c r="N1196" t="s">
        <v>26</v>
      </c>
      <c r="O1196">
        <v>94009075.299999997</v>
      </c>
      <c r="P1196" s="1">
        <v>46022</v>
      </c>
      <c r="R1196" s="7"/>
      <c r="S1196" s="7"/>
    </row>
    <row r="1197" spans="1:19" x14ac:dyDescent="0.3">
      <c r="A1197" t="s">
        <v>1245</v>
      </c>
      <c r="B1197" t="s">
        <v>24</v>
      </c>
      <c r="C1197" t="s">
        <v>32</v>
      </c>
      <c r="D1197" s="5">
        <v>1408</v>
      </c>
      <c r="E1197">
        <v>654.28</v>
      </c>
      <c r="F1197" t="s">
        <v>33</v>
      </c>
      <c r="G1197">
        <v>204</v>
      </c>
      <c r="H1197" s="1">
        <f t="shared" si="18"/>
        <v>50586</v>
      </c>
      <c r="I1197" t="s">
        <v>15</v>
      </c>
      <c r="J1197" s="1">
        <v>44370</v>
      </c>
      <c r="K1197" t="s">
        <v>39</v>
      </c>
      <c r="L1197" s="3">
        <v>6.0899999999999996E-2</v>
      </c>
      <c r="M1197" t="s">
        <v>29</v>
      </c>
      <c r="N1197" t="s">
        <v>30</v>
      </c>
      <c r="O1197">
        <v>0</v>
      </c>
      <c r="P1197" s="1">
        <v>46022</v>
      </c>
      <c r="R1197" s="7"/>
      <c r="S1197" s="7"/>
    </row>
    <row r="1198" spans="1:19" x14ac:dyDescent="0.3">
      <c r="A1198" t="s">
        <v>1246</v>
      </c>
      <c r="B1198" t="s">
        <v>24</v>
      </c>
      <c r="C1198" t="s">
        <v>32</v>
      </c>
      <c r="D1198" s="5">
        <v>22246</v>
      </c>
      <c r="E1198">
        <v>7613.44</v>
      </c>
      <c r="F1198" t="s">
        <v>33</v>
      </c>
      <c r="G1198">
        <v>282</v>
      </c>
      <c r="H1198" s="1">
        <f t="shared" si="18"/>
        <v>52321</v>
      </c>
      <c r="I1198" t="s">
        <v>15</v>
      </c>
      <c r="J1198" s="1">
        <v>43733</v>
      </c>
      <c r="K1198" t="s">
        <v>35</v>
      </c>
      <c r="L1198" s="3">
        <v>3.8900000000000004E-2</v>
      </c>
      <c r="M1198" t="s">
        <v>29</v>
      </c>
      <c r="N1198" t="s">
        <v>30</v>
      </c>
      <c r="O1198">
        <v>0</v>
      </c>
      <c r="P1198" s="1">
        <v>46022</v>
      </c>
      <c r="R1198" s="7"/>
      <c r="S1198" s="7"/>
    </row>
    <row r="1199" spans="1:19" x14ac:dyDescent="0.3">
      <c r="A1199" t="s">
        <v>1247</v>
      </c>
      <c r="B1199" t="s">
        <v>12</v>
      </c>
      <c r="C1199" t="s">
        <v>61</v>
      </c>
      <c r="D1199" s="5">
        <v>5538649</v>
      </c>
      <c r="E1199">
        <v>1544000.52</v>
      </c>
      <c r="F1199" t="s">
        <v>33</v>
      </c>
      <c r="G1199">
        <v>90</v>
      </c>
      <c r="H1199" s="1">
        <f t="shared" si="18"/>
        <v>48244</v>
      </c>
      <c r="I1199" t="s">
        <v>15</v>
      </c>
      <c r="J1199" s="1">
        <v>45481</v>
      </c>
      <c r="K1199" t="s">
        <v>22</v>
      </c>
      <c r="L1199" s="3">
        <v>6.8099999999999994E-2</v>
      </c>
      <c r="M1199" t="s">
        <v>29</v>
      </c>
      <c r="N1199" t="s">
        <v>30</v>
      </c>
      <c r="O1199">
        <v>0</v>
      </c>
      <c r="P1199" s="1">
        <v>46022</v>
      </c>
      <c r="R1199" s="7"/>
      <c r="S1199" s="7"/>
    </row>
    <row r="1200" spans="1:19" x14ac:dyDescent="0.3">
      <c r="A1200" t="s">
        <v>1248</v>
      </c>
      <c r="B1200" t="s">
        <v>24</v>
      </c>
      <c r="C1200" t="s">
        <v>41</v>
      </c>
      <c r="D1200" s="5">
        <v>77355</v>
      </c>
      <c r="E1200">
        <v>62274.2</v>
      </c>
      <c r="F1200" t="s">
        <v>14</v>
      </c>
      <c r="G1200">
        <v>270</v>
      </c>
      <c r="H1200" s="1">
        <f t="shared" si="18"/>
        <v>49034</v>
      </c>
      <c r="I1200" t="s">
        <v>15</v>
      </c>
      <c r="J1200" s="1">
        <v>40813</v>
      </c>
      <c r="K1200" t="s">
        <v>16</v>
      </c>
      <c r="L1200" s="3">
        <v>9.64E-2</v>
      </c>
      <c r="M1200" t="s">
        <v>17</v>
      </c>
      <c r="N1200" t="s">
        <v>42</v>
      </c>
      <c r="O1200">
        <v>90497.09</v>
      </c>
      <c r="P1200" s="1">
        <v>46022</v>
      </c>
      <c r="R1200" s="7"/>
      <c r="S1200" s="7"/>
    </row>
    <row r="1201" spans="1:19" x14ac:dyDescent="0.3">
      <c r="A1201" t="s">
        <v>1249</v>
      </c>
      <c r="B1201" t="s">
        <v>37</v>
      </c>
      <c r="C1201" t="s">
        <v>92</v>
      </c>
      <c r="D1201" s="5">
        <v>458128845</v>
      </c>
      <c r="E1201">
        <v>420712282.80000001</v>
      </c>
      <c r="F1201" t="s">
        <v>33</v>
      </c>
      <c r="G1201">
        <v>156</v>
      </c>
      <c r="H1201" s="1">
        <f t="shared" si="18"/>
        <v>46873</v>
      </c>
      <c r="I1201" t="s">
        <v>15</v>
      </c>
      <c r="J1201" s="1">
        <v>42096</v>
      </c>
      <c r="K1201" t="s">
        <v>39</v>
      </c>
      <c r="L1201" s="3">
        <v>7.0300000000000001E-2</v>
      </c>
      <c r="M1201" t="s">
        <v>17</v>
      </c>
      <c r="N1201" t="s">
        <v>18</v>
      </c>
      <c r="O1201">
        <v>904311216.5</v>
      </c>
      <c r="P1201" s="1">
        <v>46022</v>
      </c>
      <c r="R1201" s="7"/>
      <c r="S1201" s="7"/>
    </row>
    <row r="1202" spans="1:19" x14ac:dyDescent="0.3">
      <c r="A1202" t="s">
        <v>1250</v>
      </c>
      <c r="B1202" t="s">
        <v>24</v>
      </c>
      <c r="C1202" t="s">
        <v>25</v>
      </c>
      <c r="D1202" s="5">
        <v>490619</v>
      </c>
      <c r="E1202">
        <v>212540.5</v>
      </c>
      <c r="F1202" t="s">
        <v>14</v>
      </c>
      <c r="G1202">
        <v>342</v>
      </c>
      <c r="H1202" s="1">
        <f t="shared" si="18"/>
        <v>55304</v>
      </c>
      <c r="I1202" t="s">
        <v>15</v>
      </c>
      <c r="J1202" s="1">
        <v>44883</v>
      </c>
      <c r="K1202" t="s">
        <v>16</v>
      </c>
      <c r="L1202" s="3">
        <v>9.7500000000000003E-2</v>
      </c>
      <c r="M1202" t="s">
        <v>17</v>
      </c>
      <c r="N1202" t="s">
        <v>26</v>
      </c>
      <c r="O1202">
        <v>682269.95</v>
      </c>
      <c r="P1202" s="1">
        <v>46022</v>
      </c>
      <c r="R1202" s="7"/>
      <c r="S1202" s="7"/>
    </row>
    <row r="1203" spans="1:19" x14ac:dyDescent="0.3">
      <c r="A1203" t="s">
        <v>1251</v>
      </c>
      <c r="B1203" t="s">
        <v>24</v>
      </c>
      <c r="C1203" t="s">
        <v>41</v>
      </c>
      <c r="D1203" s="5">
        <v>33284</v>
      </c>
      <c r="E1203" s="4">
        <v>25833.45</v>
      </c>
      <c r="F1203" t="s">
        <v>14</v>
      </c>
      <c r="G1203">
        <v>84</v>
      </c>
      <c r="H1203" s="1">
        <f t="shared" si="18"/>
        <v>48060</v>
      </c>
      <c r="I1203" t="s">
        <v>15</v>
      </c>
      <c r="J1203" s="1">
        <v>45489</v>
      </c>
      <c r="K1203" t="s">
        <v>101</v>
      </c>
      <c r="L1203" s="3">
        <v>0.16109999999999999</v>
      </c>
      <c r="M1203" t="s">
        <v>17</v>
      </c>
      <c r="N1203" t="s">
        <v>42</v>
      </c>
      <c r="O1203">
        <v>34801.14</v>
      </c>
      <c r="P1203" s="1">
        <v>46022</v>
      </c>
      <c r="R1203" s="7"/>
      <c r="S1203" s="7"/>
    </row>
    <row r="1204" spans="1:19" x14ac:dyDescent="0.3">
      <c r="A1204" t="s">
        <v>1252</v>
      </c>
      <c r="B1204" t="s">
        <v>12</v>
      </c>
      <c r="C1204" t="s">
        <v>26</v>
      </c>
      <c r="D1204" s="5">
        <v>22285763</v>
      </c>
      <c r="E1204">
        <v>20219777.949999999</v>
      </c>
      <c r="F1204" t="s">
        <v>48</v>
      </c>
      <c r="G1204">
        <v>348</v>
      </c>
      <c r="H1204" s="1">
        <f t="shared" si="18"/>
        <v>53600</v>
      </c>
      <c r="I1204" t="s">
        <v>15</v>
      </c>
      <c r="J1204" s="1">
        <v>42990</v>
      </c>
      <c r="K1204" t="s">
        <v>81</v>
      </c>
      <c r="L1204" s="3">
        <v>2.7900000000000001E-2</v>
      </c>
      <c r="M1204" t="s">
        <v>17</v>
      </c>
      <c r="N1204" t="s">
        <v>18</v>
      </c>
      <c r="O1204">
        <v>31547340.670000002</v>
      </c>
      <c r="P1204" s="1">
        <v>46022</v>
      </c>
      <c r="R1204" s="7"/>
      <c r="S1204" s="7"/>
    </row>
    <row r="1205" spans="1:19" x14ac:dyDescent="0.3">
      <c r="A1205" t="s">
        <v>1253</v>
      </c>
      <c r="B1205" t="s">
        <v>37</v>
      </c>
      <c r="C1205" t="s">
        <v>74</v>
      </c>
      <c r="D1205" s="5">
        <v>364489431</v>
      </c>
      <c r="E1205">
        <v>314011941.69999999</v>
      </c>
      <c r="F1205" t="s">
        <v>14</v>
      </c>
      <c r="G1205">
        <v>324</v>
      </c>
      <c r="H1205" s="1">
        <f t="shared" si="18"/>
        <v>51897</v>
      </c>
      <c r="I1205" t="s">
        <v>15</v>
      </c>
      <c r="J1205" s="1">
        <v>42032</v>
      </c>
      <c r="K1205" t="s">
        <v>39</v>
      </c>
      <c r="L1205" s="3">
        <v>6.8699999999999997E-2</v>
      </c>
      <c r="M1205" t="s">
        <v>17</v>
      </c>
      <c r="N1205" t="s">
        <v>42</v>
      </c>
      <c r="O1205">
        <v>720172810.79999995</v>
      </c>
      <c r="P1205" s="1">
        <v>46022</v>
      </c>
      <c r="R1205" s="7"/>
      <c r="S1205" s="7"/>
    </row>
    <row r="1206" spans="1:19" x14ac:dyDescent="0.3">
      <c r="A1206" t="s">
        <v>1254</v>
      </c>
      <c r="B1206" t="s">
        <v>20</v>
      </c>
      <c r="C1206" t="s">
        <v>21</v>
      </c>
      <c r="D1206" s="5">
        <v>94818</v>
      </c>
      <c r="E1206">
        <v>25082.43</v>
      </c>
      <c r="F1206" t="s">
        <v>14</v>
      </c>
      <c r="G1206">
        <v>60</v>
      </c>
      <c r="H1206" s="1">
        <f t="shared" si="18"/>
        <v>45688</v>
      </c>
      <c r="I1206" t="s">
        <v>15</v>
      </c>
      <c r="J1206" s="1">
        <v>43843</v>
      </c>
      <c r="K1206" t="s">
        <v>22</v>
      </c>
      <c r="L1206" s="3">
        <v>4.3200000000000002E-2</v>
      </c>
      <c r="M1206" t="s">
        <v>29</v>
      </c>
      <c r="N1206" t="s">
        <v>30</v>
      </c>
      <c r="O1206">
        <v>0</v>
      </c>
      <c r="P1206" s="1">
        <v>46022</v>
      </c>
      <c r="R1206" s="7"/>
      <c r="S1206" s="7"/>
    </row>
    <row r="1207" spans="1:19" x14ac:dyDescent="0.3">
      <c r="A1207" t="s">
        <v>1255</v>
      </c>
      <c r="B1207" t="s">
        <v>37</v>
      </c>
      <c r="C1207" t="s">
        <v>38</v>
      </c>
      <c r="D1207" s="5">
        <v>298832455</v>
      </c>
      <c r="E1207">
        <v>287077190.89999998</v>
      </c>
      <c r="F1207" t="s">
        <v>48</v>
      </c>
      <c r="G1207">
        <v>276</v>
      </c>
      <c r="H1207" s="1">
        <f t="shared" si="18"/>
        <v>51532</v>
      </c>
      <c r="I1207" t="s">
        <v>15</v>
      </c>
      <c r="J1207" s="1">
        <v>43105</v>
      </c>
      <c r="K1207" t="s">
        <v>16</v>
      </c>
      <c r="L1207" s="3">
        <v>9.6699999999999994E-2</v>
      </c>
      <c r="M1207" t="s">
        <v>17</v>
      </c>
      <c r="N1207" t="s">
        <v>54</v>
      </c>
      <c r="O1207">
        <v>395723493.30000001</v>
      </c>
      <c r="P1207" s="1">
        <v>46022</v>
      </c>
      <c r="R1207" s="7"/>
      <c r="S1207" s="7"/>
    </row>
    <row r="1208" spans="1:19" x14ac:dyDescent="0.3">
      <c r="A1208" t="s">
        <v>1256</v>
      </c>
      <c r="B1208" t="s">
        <v>20</v>
      </c>
      <c r="C1208" t="s">
        <v>51</v>
      </c>
      <c r="D1208" s="5">
        <v>3085794</v>
      </c>
      <c r="E1208">
        <v>1354690.64</v>
      </c>
      <c r="F1208" t="s">
        <v>48</v>
      </c>
      <c r="G1208">
        <v>348</v>
      </c>
      <c r="H1208" s="1">
        <f t="shared" si="18"/>
        <v>54026</v>
      </c>
      <c r="I1208" t="s">
        <v>15</v>
      </c>
      <c r="J1208" s="1">
        <v>43413</v>
      </c>
      <c r="K1208" t="s">
        <v>22</v>
      </c>
      <c r="L1208" s="3">
        <v>5.1399999999999994E-2</v>
      </c>
      <c r="M1208" t="s">
        <v>17</v>
      </c>
      <c r="N1208" t="s">
        <v>18</v>
      </c>
      <c r="O1208">
        <v>5240299.51</v>
      </c>
      <c r="P1208" s="1">
        <v>46022</v>
      </c>
      <c r="R1208" s="7"/>
      <c r="S1208" s="7"/>
    </row>
    <row r="1209" spans="1:19" x14ac:dyDescent="0.3">
      <c r="A1209" t="s">
        <v>1257</v>
      </c>
      <c r="B1209" t="s">
        <v>24</v>
      </c>
      <c r="C1209" t="s">
        <v>41</v>
      </c>
      <c r="D1209" s="5">
        <v>67392</v>
      </c>
      <c r="E1209" s="4">
        <v>27315.07</v>
      </c>
      <c r="F1209" t="s">
        <v>14</v>
      </c>
      <c r="G1209">
        <v>186</v>
      </c>
      <c r="H1209" s="1">
        <f t="shared" si="18"/>
        <v>47695</v>
      </c>
      <c r="I1209" t="s">
        <v>15</v>
      </c>
      <c r="J1209" s="1">
        <v>42011</v>
      </c>
      <c r="K1209" t="s">
        <v>101</v>
      </c>
      <c r="L1209" s="3">
        <v>0.1459</v>
      </c>
      <c r="M1209" t="s">
        <v>17</v>
      </c>
      <c r="N1209" t="s">
        <v>42</v>
      </c>
      <c r="O1209">
        <v>81409.73</v>
      </c>
      <c r="P1209" s="1">
        <v>46022</v>
      </c>
      <c r="R1209" s="7"/>
      <c r="S1209" s="7"/>
    </row>
    <row r="1210" spans="1:19" x14ac:dyDescent="0.3">
      <c r="A1210" t="s">
        <v>1258</v>
      </c>
      <c r="B1210" t="s">
        <v>24</v>
      </c>
      <c r="C1210" t="s">
        <v>41</v>
      </c>
      <c r="D1210" s="5">
        <v>31782</v>
      </c>
      <c r="E1210">
        <v>4963.97</v>
      </c>
      <c r="F1210" t="s">
        <v>14</v>
      </c>
      <c r="G1210">
        <v>144</v>
      </c>
      <c r="H1210" s="1">
        <f t="shared" si="18"/>
        <v>48060</v>
      </c>
      <c r="I1210" t="s">
        <v>15</v>
      </c>
      <c r="J1210" s="1">
        <v>43669</v>
      </c>
      <c r="K1210" t="s">
        <v>39</v>
      </c>
      <c r="L1210" s="3">
        <v>6.3E-2</v>
      </c>
      <c r="M1210" t="s">
        <v>17</v>
      </c>
      <c r="N1210" t="s">
        <v>42</v>
      </c>
      <c r="O1210">
        <v>37665.49</v>
      </c>
      <c r="P1210" s="1">
        <v>46022</v>
      </c>
      <c r="R1210" s="7"/>
      <c r="S1210" s="7"/>
    </row>
    <row r="1211" spans="1:19" x14ac:dyDescent="0.3">
      <c r="A1211" t="s">
        <v>1259</v>
      </c>
      <c r="B1211" t="s">
        <v>24</v>
      </c>
      <c r="C1211" t="s">
        <v>32</v>
      </c>
      <c r="D1211" s="5">
        <v>35989</v>
      </c>
      <c r="E1211">
        <v>19345.89</v>
      </c>
      <c r="F1211" t="s">
        <v>33</v>
      </c>
      <c r="G1211">
        <v>354</v>
      </c>
      <c r="H1211" s="1">
        <f t="shared" si="18"/>
        <v>55762</v>
      </c>
      <c r="I1211" t="s">
        <v>15</v>
      </c>
      <c r="J1211" s="1">
        <v>44964</v>
      </c>
      <c r="K1211" t="s">
        <v>39</v>
      </c>
      <c r="L1211" s="3">
        <v>9.5799999999999996E-2</v>
      </c>
      <c r="M1211" t="s">
        <v>29</v>
      </c>
      <c r="N1211" t="s">
        <v>30</v>
      </c>
      <c r="O1211">
        <v>0</v>
      </c>
      <c r="P1211" s="1">
        <v>46022</v>
      </c>
      <c r="R1211" s="7"/>
      <c r="S1211" s="7"/>
    </row>
    <row r="1212" spans="1:19" x14ac:dyDescent="0.3">
      <c r="A1212" t="s">
        <v>1260</v>
      </c>
      <c r="B1212" t="s">
        <v>24</v>
      </c>
      <c r="C1212" t="s">
        <v>25</v>
      </c>
      <c r="D1212" s="5">
        <v>182252</v>
      </c>
      <c r="E1212">
        <v>36106.42</v>
      </c>
      <c r="F1212" t="s">
        <v>14</v>
      </c>
      <c r="G1212">
        <v>186</v>
      </c>
      <c r="H1212" s="1">
        <f t="shared" si="18"/>
        <v>50252</v>
      </c>
      <c r="I1212" t="s">
        <v>15</v>
      </c>
      <c r="J1212" s="1">
        <v>44571</v>
      </c>
      <c r="K1212" t="s">
        <v>56</v>
      </c>
      <c r="L1212" s="3">
        <v>4.3299999999999998E-2</v>
      </c>
      <c r="M1212" t="s">
        <v>17</v>
      </c>
      <c r="N1212" t="s">
        <v>26</v>
      </c>
      <c r="O1212">
        <v>231677.35</v>
      </c>
      <c r="P1212" s="1">
        <v>46022</v>
      </c>
      <c r="R1212" s="7"/>
      <c r="S1212" s="7"/>
    </row>
    <row r="1213" spans="1:19" x14ac:dyDescent="0.3">
      <c r="A1213" t="s">
        <v>1261</v>
      </c>
      <c r="B1213" t="s">
        <v>24</v>
      </c>
      <c r="C1213" t="s">
        <v>41</v>
      </c>
      <c r="D1213" s="5">
        <v>27934</v>
      </c>
      <c r="E1213">
        <v>9041.9500000000007</v>
      </c>
      <c r="F1213" t="s">
        <v>14</v>
      </c>
      <c r="G1213">
        <v>174</v>
      </c>
      <c r="H1213" s="1">
        <f t="shared" si="18"/>
        <v>48121</v>
      </c>
      <c r="I1213" t="s">
        <v>15</v>
      </c>
      <c r="J1213" s="1">
        <v>42796</v>
      </c>
      <c r="K1213" t="s">
        <v>35</v>
      </c>
      <c r="L1213" s="3">
        <v>3.4500000000000003E-2</v>
      </c>
      <c r="M1213" t="s">
        <v>17</v>
      </c>
      <c r="N1213" t="s">
        <v>42</v>
      </c>
      <c r="O1213">
        <v>34358.43</v>
      </c>
      <c r="P1213" s="1">
        <v>46022</v>
      </c>
      <c r="R1213" s="7"/>
      <c r="S1213" s="7"/>
    </row>
    <row r="1214" spans="1:19" x14ac:dyDescent="0.3">
      <c r="A1214" t="s">
        <v>1262</v>
      </c>
      <c r="B1214" t="s">
        <v>20</v>
      </c>
      <c r="C1214" t="s">
        <v>47</v>
      </c>
      <c r="D1214" s="5">
        <v>4393477</v>
      </c>
      <c r="E1214">
        <v>1692579.7</v>
      </c>
      <c r="F1214" t="s">
        <v>33</v>
      </c>
      <c r="G1214">
        <v>252</v>
      </c>
      <c r="H1214" s="1">
        <f t="shared" si="18"/>
        <v>52351</v>
      </c>
      <c r="I1214" t="s">
        <v>15</v>
      </c>
      <c r="J1214" s="1">
        <v>44672</v>
      </c>
      <c r="K1214" t="s">
        <v>39</v>
      </c>
      <c r="L1214" s="3">
        <v>7.8700000000000006E-2</v>
      </c>
      <c r="M1214" t="s">
        <v>17</v>
      </c>
      <c r="N1214" t="s">
        <v>18</v>
      </c>
      <c r="O1214">
        <v>5350501.3499999996</v>
      </c>
      <c r="P1214" s="1">
        <v>46022</v>
      </c>
      <c r="R1214" s="7"/>
      <c r="S1214" s="7"/>
    </row>
    <row r="1215" spans="1:19" x14ac:dyDescent="0.3">
      <c r="A1215" t="s">
        <v>1263</v>
      </c>
      <c r="B1215" t="s">
        <v>24</v>
      </c>
      <c r="C1215" t="s">
        <v>41</v>
      </c>
      <c r="D1215" s="5">
        <v>76485</v>
      </c>
      <c r="E1215">
        <v>63325.34</v>
      </c>
      <c r="F1215" t="s">
        <v>14</v>
      </c>
      <c r="G1215">
        <v>192</v>
      </c>
      <c r="H1215" s="1">
        <f t="shared" si="18"/>
        <v>51348</v>
      </c>
      <c r="I1215" t="s">
        <v>15</v>
      </c>
      <c r="J1215" s="1">
        <v>45490</v>
      </c>
      <c r="K1215" t="s">
        <v>56</v>
      </c>
      <c r="L1215" s="3">
        <v>5.9500000000000004E-2</v>
      </c>
      <c r="M1215" t="s">
        <v>17</v>
      </c>
      <c r="N1215" t="s">
        <v>42</v>
      </c>
      <c r="O1215">
        <v>85935.89</v>
      </c>
      <c r="P1215" s="1">
        <v>46022</v>
      </c>
      <c r="R1215" s="7"/>
      <c r="S1215" s="7"/>
    </row>
    <row r="1216" spans="1:19" x14ac:dyDescent="0.3">
      <c r="A1216" t="s">
        <v>1264</v>
      </c>
      <c r="B1216" t="s">
        <v>24</v>
      </c>
      <c r="C1216" t="s">
        <v>28</v>
      </c>
      <c r="D1216" s="5">
        <v>1674</v>
      </c>
      <c r="E1216">
        <v>1485.99</v>
      </c>
      <c r="F1216" t="s">
        <v>48</v>
      </c>
      <c r="G1216">
        <v>102</v>
      </c>
      <c r="H1216" s="1">
        <f t="shared" si="18"/>
        <v>46112</v>
      </c>
      <c r="I1216" t="s">
        <v>15</v>
      </c>
      <c r="J1216" s="1">
        <v>42998</v>
      </c>
      <c r="K1216" t="s">
        <v>39</v>
      </c>
      <c r="L1216" s="3">
        <v>8.0799999999999997E-2</v>
      </c>
      <c r="M1216" t="s">
        <v>29</v>
      </c>
      <c r="N1216" t="s">
        <v>30</v>
      </c>
      <c r="O1216">
        <v>0</v>
      </c>
      <c r="P1216" s="1">
        <v>46022</v>
      </c>
      <c r="R1216" s="7"/>
      <c r="S1216" s="7"/>
    </row>
    <row r="1217" spans="1:19" x14ac:dyDescent="0.3">
      <c r="A1217" t="s">
        <v>1265</v>
      </c>
      <c r="B1217" t="s">
        <v>24</v>
      </c>
      <c r="C1217" t="s">
        <v>32</v>
      </c>
      <c r="D1217" s="5">
        <v>13170</v>
      </c>
      <c r="E1217">
        <v>4902.3</v>
      </c>
      <c r="F1217" t="s">
        <v>33</v>
      </c>
      <c r="G1217">
        <v>84</v>
      </c>
      <c r="H1217" s="1">
        <f t="shared" si="18"/>
        <v>47269</v>
      </c>
      <c r="I1217" t="s">
        <v>15</v>
      </c>
      <c r="J1217" s="1">
        <v>44706</v>
      </c>
      <c r="K1217" t="s">
        <v>81</v>
      </c>
      <c r="L1217" s="3">
        <v>3.1099999999999999E-2</v>
      </c>
      <c r="M1217" t="s">
        <v>29</v>
      </c>
      <c r="N1217" t="s">
        <v>30</v>
      </c>
      <c r="O1217">
        <v>0</v>
      </c>
      <c r="P1217" s="1">
        <v>46022</v>
      </c>
      <c r="R1217" s="7"/>
      <c r="S1217" s="7"/>
    </row>
    <row r="1218" spans="1:19" x14ac:dyDescent="0.3">
      <c r="A1218" t="s">
        <v>1266</v>
      </c>
      <c r="B1218" t="s">
        <v>37</v>
      </c>
      <c r="C1218" t="s">
        <v>92</v>
      </c>
      <c r="D1218" s="5">
        <v>115059177</v>
      </c>
      <c r="E1218">
        <v>100426906.59999999</v>
      </c>
      <c r="F1218" t="s">
        <v>33</v>
      </c>
      <c r="G1218">
        <v>240</v>
      </c>
      <c r="H1218" s="1">
        <f t="shared" ref="H1218:H1281" si="19">EOMONTH(J1218,G1218)</f>
        <v>49248</v>
      </c>
      <c r="I1218" t="s">
        <v>15</v>
      </c>
      <c r="J1218" s="1">
        <v>41922</v>
      </c>
      <c r="K1218" t="s">
        <v>39</v>
      </c>
      <c r="L1218" s="3">
        <v>7.1300000000000002E-2</v>
      </c>
      <c r="M1218" t="s">
        <v>17</v>
      </c>
      <c r="N1218" t="s">
        <v>26</v>
      </c>
      <c r="O1218">
        <v>153862752.69999999</v>
      </c>
      <c r="P1218" s="1">
        <v>46022</v>
      </c>
      <c r="R1218" s="7"/>
      <c r="S1218" s="7"/>
    </row>
    <row r="1219" spans="1:19" x14ac:dyDescent="0.3">
      <c r="A1219" t="s">
        <v>1267</v>
      </c>
      <c r="B1219" t="s">
        <v>24</v>
      </c>
      <c r="C1219" t="s">
        <v>25</v>
      </c>
      <c r="D1219" s="5">
        <v>343726</v>
      </c>
      <c r="E1219">
        <v>299559.64</v>
      </c>
      <c r="F1219" t="s">
        <v>14</v>
      </c>
      <c r="G1219">
        <v>216</v>
      </c>
      <c r="H1219" s="1">
        <f t="shared" si="19"/>
        <v>48791</v>
      </c>
      <c r="I1219" t="s">
        <v>15</v>
      </c>
      <c r="J1219" s="1">
        <v>42213</v>
      </c>
      <c r="K1219" t="s">
        <v>22</v>
      </c>
      <c r="L1219" s="3">
        <v>4.8600000000000004E-2</v>
      </c>
      <c r="M1219" t="s">
        <v>17</v>
      </c>
      <c r="N1219" t="s">
        <v>26</v>
      </c>
      <c r="O1219">
        <v>413992.98</v>
      </c>
      <c r="P1219" s="1">
        <v>46022</v>
      </c>
      <c r="R1219" s="7"/>
      <c r="S1219" s="7"/>
    </row>
    <row r="1220" spans="1:19" x14ac:dyDescent="0.3">
      <c r="A1220" t="s">
        <v>1268</v>
      </c>
      <c r="B1220" t="s">
        <v>12</v>
      </c>
      <c r="C1220" t="s">
        <v>26</v>
      </c>
      <c r="D1220" s="5">
        <v>13130429</v>
      </c>
      <c r="E1220">
        <v>10349218.210000001</v>
      </c>
      <c r="F1220" t="s">
        <v>48</v>
      </c>
      <c r="G1220">
        <v>348</v>
      </c>
      <c r="H1220" s="1">
        <f t="shared" si="19"/>
        <v>55518</v>
      </c>
      <c r="I1220" t="s">
        <v>15</v>
      </c>
      <c r="J1220" s="1">
        <v>44923</v>
      </c>
      <c r="K1220" t="s">
        <v>39</v>
      </c>
      <c r="L1220" s="3">
        <v>7.8899999999999998E-2</v>
      </c>
      <c r="M1220" t="s">
        <v>17</v>
      </c>
      <c r="N1220" t="s">
        <v>54</v>
      </c>
      <c r="O1220">
        <v>17176911.879999999</v>
      </c>
      <c r="P1220" s="1">
        <v>46022</v>
      </c>
      <c r="R1220" s="7"/>
      <c r="S1220" s="7"/>
    </row>
    <row r="1221" spans="1:19" x14ac:dyDescent="0.3">
      <c r="A1221" t="s">
        <v>1269</v>
      </c>
      <c r="B1221" t="s">
        <v>20</v>
      </c>
      <c r="C1221" t="s">
        <v>51</v>
      </c>
      <c r="D1221" s="5">
        <v>359505</v>
      </c>
      <c r="E1221">
        <v>83414.399999999994</v>
      </c>
      <c r="F1221" t="s">
        <v>14</v>
      </c>
      <c r="G1221">
        <v>288</v>
      </c>
      <c r="H1221" s="1">
        <f t="shared" si="19"/>
        <v>49309</v>
      </c>
      <c r="I1221" t="s">
        <v>15</v>
      </c>
      <c r="J1221" s="1">
        <v>40535</v>
      </c>
      <c r="K1221" t="s">
        <v>39</v>
      </c>
      <c r="L1221" s="3">
        <v>7.3800000000000004E-2</v>
      </c>
      <c r="M1221" t="s">
        <v>17</v>
      </c>
      <c r="N1221" t="s">
        <v>54</v>
      </c>
      <c r="O1221">
        <v>477020.94</v>
      </c>
      <c r="P1221" s="1">
        <v>46022</v>
      </c>
      <c r="R1221" s="7"/>
      <c r="S1221" s="7"/>
    </row>
    <row r="1222" spans="1:19" x14ac:dyDescent="0.3">
      <c r="A1222" t="s">
        <v>1270</v>
      </c>
      <c r="B1222" t="s">
        <v>24</v>
      </c>
      <c r="C1222" t="s">
        <v>41</v>
      </c>
      <c r="D1222" s="5">
        <v>51305</v>
      </c>
      <c r="E1222">
        <v>37005.56</v>
      </c>
      <c r="F1222" t="s">
        <v>14</v>
      </c>
      <c r="G1222">
        <v>144</v>
      </c>
      <c r="H1222" s="1">
        <f t="shared" si="19"/>
        <v>47514</v>
      </c>
      <c r="I1222" t="s">
        <v>15</v>
      </c>
      <c r="J1222" s="1">
        <v>43128</v>
      </c>
      <c r="K1222" t="s">
        <v>22</v>
      </c>
      <c r="L1222" s="3">
        <v>5.9699999999999996E-2</v>
      </c>
      <c r="M1222" t="s">
        <v>17</v>
      </c>
      <c r="N1222" t="s">
        <v>42</v>
      </c>
      <c r="O1222">
        <v>58973.95</v>
      </c>
      <c r="P1222" s="1">
        <v>46022</v>
      </c>
      <c r="R1222" s="7"/>
      <c r="S1222" s="7"/>
    </row>
    <row r="1223" spans="1:19" x14ac:dyDescent="0.3">
      <c r="A1223" t="s">
        <v>1271</v>
      </c>
      <c r="B1223" t="s">
        <v>20</v>
      </c>
      <c r="C1223" t="s">
        <v>21</v>
      </c>
      <c r="D1223" s="5">
        <v>3677031</v>
      </c>
      <c r="E1223">
        <v>3495097.32</v>
      </c>
      <c r="F1223" t="s">
        <v>14</v>
      </c>
      <c r="G1223">
        <v>270</v>
      </c>
      <c r="H1223" s="1">
        <f t="shared" si="19"/>
        <v>52321</v>
      </c>
      <c r="I1223" t="s">
        <v>15</v>
      </c>
      <c r="J1223" s="1">
        <v>44084</v>
      </c>
      <c r="K1223" t="s">
        <v>35</v>
      </c>
      <c r="L1223" s="3">
        <v>2.1400000000000002E-2</v>
      </c>
      <c r="M1223" t="s">
        <v>29</v>
      </c>
      <c r="N1223" t="s">
        <v>30</v>
      </c>
      <c r="O1223">
        <v>0</v>
      </c>
      <c r="P1223" s="1">
        <v>46022</v>
      </c>
      <c r="R1223" s="7"/>
      <c r="S1223" s="7"/>
    </row>
    <row r="1224" spans="1:19" x14ac:dyDescent="0.3">
      <c r="A1224" t="s">
        <v>1272</v>
      </c>
      <c r="B1224" t="s">
        <v>24</v>
      </c>
      <c r="C1224" t="s">
        <v>25</v>
      </c>
      <c r="D1224" s="5">
        <v>646059</v>
      </c>
      <c r="E1224">
        <v>461470.86</v>
      </c>
      <c r="F1224" t="s">
        <v>14</v>
      </c>
      <c r="G1224">
        <v>324</v>
      </c>
      <c r="H1224" s="1">
        <f t="shared" si="19"/>
        <v>55426</v>
      </c>
      <c r="I1224" t="s">
        <v>15</v>
      </c>
      <c r="J1224" s="1">
        <v>45560</v>
      </c>
      <c r="K1224" t="s">
        <v>56</v>
      </c>
      <c r="L1224" s="3">
        <v>5.1799999999999999E-2</v>
      </c>
      <c r="M1224" t="s">
        <v>17</v>
      </c>
      <c r="N1224" t="s">
        <v>26</v>
      </c>
      <c r="O1224">
        <v>818084.39</v>
      </c>
      <c r="P1224" s="1">
        <v>46022</v>
      </c>
      <c r="R1224" s="7"/>
      <c r="S1224" s="7"/>
    </row>
    <row r="1225" spans="1:19" x14ac:dyDescent="0.3">
      <c r="A1225" t="s">
        <v>1273</v>
      </c>
      <c r="B1225" t="s">
        <v>20</v>
      </c>
      <c r="C1225" t="s">
        <v>51</v>
      </c>
      <c r="D1225" s="5">
        <v>3380715</v>
      </c>
      <c r="E1225">
        <v>1347063.25</v>
      </c>
      <c r="F1225" t="s">
        <v>48</v>
      </c>
      <c r="G1225">
        <v>162</v>
      </c>
      <c r="H1225" s="1">
        <f t="shared" si="19"/>
        <v>46752</v>
      </c>
      <c r="I1225" t="s">
        <v>15</v>
      </c>
      <c r="J1225" s="1">
        <v>41817</v>
      </c>
      <c r="K1225" t="s">
        <v>22</v>
      </c>
      <c r="L1225" s="3">
        <v>4.9200000000000001E-2</v>
      </c>
      <c r="M1225" t="s">
        <v>17</v>
      </c>
      <c r="N1225" t="s">
        <v>54</v>
      </c>
      <c r="O1225">
        <v>5262569.09</v>
      </c>
      <c r="P1225" s="1">
        <v>46022</v>
      </c>
      <c r="R1225" s="7"/>
      <c r="S1225" s="7"/>
    </row>
    <row r="1226" spans="1:19" x14ac:dyDescent="0.3">
      <c r="A1226" t="s">
        <v>1274</v>
      </c>
      <c r="B1226" t="s">
        <v>12</v>
      </c>
      <c r="C1226" t="s">
        <v>26</v>
      </c>
      <c r="D1226" s="5">
        <v>4976310</v>
      </c>
      <c r="E1226">
        <v>2739564.94</v>
      </c>
      <c r="F1226" t="s">
        <v>33</v>
      </c>
      <c r="G1226">
        <v>150</v>
      </c>
      <c r="H1226" s="1">
        <f t="shared" si="19"/>
        <v>47634</v>
      </c>
      <c r="I1226" t="s">
        <v>15</v>
      </c>
      <c r="J1226" s="1">
        <v>43049</v>
      </c>
      <c r="K1226" t="s">
        <v>22</v>
      </c>
      <c r="L1226" s="3">
        <v>5.9900000000000002E-2</v>
      </c>
      <c r="M1226" t="s">
        <v>29</v>
      </c>
      <c r="N1226" t="s">
        <v>30</v>
      </c>
      <c r="O1226">
        <v>0</v>
      </c>
      <c r="P1226" s="1">
        <v>46022</v>
      </c>
      <c r="R1226" s="7"/>
      <c r="S1226" s="7"/>
    </row>
    <row r="1227" spans="1:19" x14ac:dyDescent="0.3">
      <c r="A1227" t="s">
        <v>1275</v>
      </c>
      <c r="B1227" t="s">
        <v>12</v>
      </c>
      <c r="C1227" t="s">
        <v>13</v>
      </c>
      <c r="D1227" s="5">
        <v>47623045</v>
      </c>
      <c r="E1227">
        <v>32438557.879999999</v>
      </c>
      <c r="F1227" t="s">
        <v>14</v>
      </c>
      <c r="G1227">
        <v>354</v>
      </c>
      <c r="H1227" s="1">
        <f t="shared" si="19"/>
        <v>50982</v>
      </c>
      <c r="I1227" t="s">
        <v>15</v>
      </c>
      <c r="J1227" s="1">
        <v>40184</v>
      </c>
      <c r="K1227" t="s">
        <v>39</v>
      </c>
      <c r="L1227" s="3">
        <v>7.6600000000000001E-2</v>
      </c>
      <c r="M1227" t="s">
        <v>29</v>
      </c>
      <c r="N1227" t="s">
        <v>30</v>
      </c>
      <c r="O1227">
        <v>0</v>
      </c>
      <c r="P1227" s="1">
        <v>46022</v>
      </c>
      <c r="R1227" s="7"/>
      <c r="S1227" s="7"/>
    </row>
    <row r="1228" spans="1:19" x14ac:dyDescent="0.3">
      <c r="A1228" t="s">
        <v>1276</v>
      </c>
      <c r="B1228" t="s">
        <v>12</v>
      </c>
      <c r="C1228" t="s">
        <v>26</v>
      </c>
      <c r="D1228" s="5">
        <v>42086100</v>
      </c>
      <c r="E1228">
        <v>23547735.469999999</v>
      </c>
      <c r="F1228" t="s">
        <v>33</v>
      </c>
      <c r="G1228">
        <v>192</v>
      </c>
      <c r="H1228" s="1">
        <f t="shared" si="19"/>
        <v>47817</v>
      </c>
      <c r="I1228" t="s">
        <v>15</v>
      </c>
      <c r="J1228" s="1">
        <v>41961</v>
      </c>
      <c r="K1228" t="s">
        <v>22</v>
      </c>
      <c r="L1228" s="3">
        <v>5.04E-2</v>
      </c>
      <c r="M1228" t="s">
        <v>17</v>
      </c>
      <c r="N1228" t="s">
        <v>26</v>
      </c>
      <c r="O1228">
        <v>64176295.590000004</v>
      </c>
      <c r="P1228" s="1">
        <v>46022</v>
      </c>
      <c r="R1228" s="7"/>
      <c r="S1228" s="7"/>
    </row>
    <row r="1229" spans="1:19" x14ac:dyDescent="0.3">
      <c r="A1229" t="s">
        <v>1277</v>
      </c>
      <c r="B1229" t="s">
        <v>20</v>
      </c>
      <c r="C1229" t="s">
        <v>51</v>
      </c>
      <c r="D1229" s="5">
        <v>4035197</v>
      </c>
      <c r="E1229">
        <v>839150.09</v>
      </c>
      <c r="F1229" t="s">
        <v>48</v>
      </c>
      <c r="G1229">
        <v>312</v>
      </c>
      <c r="H1229" s="1">
        <f t="shared" si="19"/>
        <v>50890</v>
      </c>
      <c r="I1229" t="s">
        <v>15</v>
      </c>
      <c r="J1229" s="1">
        <v>41383</v>
      </c>
      <c r="K1229" t="s">
        <v>22</v>
      </c>
      <c r="L1229" s="3">
        <v>5.2999999999999999E-2</v>
      </c>
      <c r="M1229" t="s">
        <v>17</v>
      </c>
      <c r="N1229" t="s">
        <v>54</v>
      </c>
      <c r="O1229">
        <v>5259153.78</v>
      </c>
      <c r="P1229" s="1">
        <v>46022</v>
      </c>
      <c r="R1229" s="7"/>
      <c r="S1229" s="7"/>
    </row>
    <row r="1230" spans="1:19" x14ac:dyDescent="0.3">
      <c r="A1230" t="s">
        <v>1278</v>
      </c>
      <c r="B1230" t="s">
        <v>24</v>
      </c>
      <c r="C1230" t="s">
        <v>28</v>
      </c>
      <c r="D1230" s="5">
        <v>41326</v>
      </c>
      <c r="E1230">
        <v>15739.4</v>
      </c>
      <c r="F1230" t="s">
        <v>48</v>
      </c>
      <c r="G1230">
        <v>108</v>
      </c>
      <c r="H1230" s="1">
        <f t="shared" si="19"/>
        <v>45596</v>
      </c>
      <c r="I1230" t="s">
        <v>15</v>
      </c>
      <c r="J1230" s="1">
        <v>42284</v>
      </c>
      <c r="K1230" t="s">
        <v>22</v>
      </c>
      <c r="L1230" s="3">
        <v>4.4999999999999998E-2</v>
      </c>
      <c r="M1230" t="s">
        <v>29</v>
      </c>
      <c r="N1230" t="s">
        <v>30</v>
      </c>
      <c r="O1230">
        <v>0</v>
      </c>
      <c r="P1230" s="1">
        <v>46022</v>
      </c>
      <c r="R1230" s="7"/>
      <c r="S1230" s="7"/>
    </row>
    <row r="1231" spans="1:19" x14ac:dyDescent="0.3">
      <c r="A1231" t="s">
        <v>1279</v>
      </c>
      <c r="B1231" t="s">
        <v>24</v>
      </c>
      <c r="C1231" t="s">
        <v>28</v>
      </c>
      <c r="D1231" s="5">
        <v>46703</v>
      </c>
      <c r="E1231">
        <v>38397.019999999997</v>
      </c>
      <c r="F1231" t="s">
        <v>14</v>
      </c>
      <c r="G1231">
        <v>276</v>
      </c>
      <c r="H1231" s="1">
        <f t="shared" si="19"/>
        <v>48913</v>
      </c>
      <c r="I1231" t="s">
        <v>15</v>
      </c>
      <c r="J1231" s="1">
        <v>40500</v>
      </c>
      <c r="K1231" t="s">
        <v>56</v>
      </c>
      <c r="L1231" s="3">
        <v>4.3200000000000002E-2</v>
      </c>
      <c r="M1231" t="s">
        <v>29</v>
      </c>
      <c r="N1231" t="s">
        <v>30</v>
      </c>
      <c r="O1231">
        <v>0</v>
      </c>
      <c r="P1231" s="1">
        <v>46022</v>
      </c>
      <c r="R1231" s="7"/>
      <c r="S1231" s="7"/>
    </row>
    <row r="1232" spans="1:19" x14ac:dyDescent="0.3">
      <c r="A1232" t="s">
        <v>1280</v>
      </c>
      <c r="B1232" t="s">
        <v>37</v>
      </c>
      <c r="C1232" t="s">
        <v>78</v>
      </c>
      <c r="D1232" s="5">
        <v>276684443</v>
      </c>
      <c r="E1232">
        <v>242175319.69999999</v>
      </c>
      <c r="F1232" t="s">
        <v>48</v>
      </c>
      <c r="G1232">
        <v>108</v>
      </c>
      <c r="H1232" s="1">
        <f t="shared" si="19"/>
        <v>47664</v>
      </c>
      <c r="I1232" t="s">
        <v>15</v>
      </c>
      <c r="J1232" s="1">
        <v>44370</v>
      </c>
      <c r="K1232" t="s">
        <v>22</v>
      </c>
      <c r="L1232" s="3">
        <v>3.7699999999999997E-2</v>
      </c>
      <c r="M1232" t="s">
        <v>17</v>
      </c>
      <c r="N1232" t="s">
        <v>18</v>
      </c>
      <c r="O1232">
        <v>421123712</v>
      </c>
      <c r="P1232" s="1">
        <v>46022</v>
      </c>
      <c r="R1232" s="7"/>
      <c r="S1232" s="7"/>
    </row>
    <row r="1233" spans="1:19" x14ac:dyDescent="0.3">
      <c r="A1233" t="s">
        <v>1281</v>
      </c>
      <c r="B1233" t="s">
        <v>12</v>
      </c>
      <c r="C1233" t="s">
        <v>63</v>
      </c>
      <c r="D1233" s="5">
        <v>10813819</v>
      </c>
      <c r="E1233" s="4">
        <v>2417645.81</v>
      </c>
      <c r="F1233" t="s">
        <v>14</v>
      </c>
      <c r="G1233">
        <v>222</v>
      </c>
      <c r="H1233" s="1">
        <f t="shared" si="19"/>
        <v>49340</v>
      </c>
      <c r="I1233" t="s">
        <v>15</v>
      </c>
      <c r="J1233" s="1">
        <v>42552</v>
      </c>
      <c r="K1233" t="s">
        <v>56</v>
      </c>
      <c r="L1233" s="3">
        <v>0.13689999999999999</v>
      </c>
      <c r="M1233" t="s">
        <v>17</v>
      </c>
      <c r="N1233" t="s">
        <v>54</v>
      </c>
      <c r="O1233">
        <v>16424451.23</v>
      </c>
      <c r="P1233" s="1">
        <v>46022</v>
      </c>
      <c r="R1233" s="7"/>
      <c r="S1233" s="7"/>
    </row>
    <row r="1234" spans="1:19" x14ac:dyDescent="0.3">
      <c r="A1234" t="s">
        <v>1282</v>
      </c>
      <c r="B1234" t="s">
        <v>24</v>
      </c>
      <c r="C1234" t="s">
        <v>25</v>
      </c>
      <c r="D1234" s="5">
        <v>655105</v>
      </c>
      <c r="E1234">
        <v>627032.73</v>
      </c>
      <c r="F1234" t="s">
        <v>14</v>
      </c>
      <c r="G1234">
        <v>156</v>
      </c>
      <c r="H1234" s="1">
        <f t="shared" si="19"/>
        <v>45657</v>
      </c>
      <c r="I1234" t="s">
        <v>15</v>
      </c>
      <c r="J1234" s="1">
        <v>40883</v>
      </c>
      <c r="K1234" t="s">
        <v>16</v>
      </c>
      <c r="L1234" s="3">
        <v>0.10300000000000001</v>
      </c>
      <c r="M1234" t="s">
        <v>17</v>
      </c>
      <c r="N1234" t="s">
        <v>26</v>
      </c>
      <c r="O1234">
        <v>787216.18</v>
      </c>
      <c r="P1234" s="1">
        <v>46022</v>
      </c>
      <c r="R1234" s="7"/>
      <c r="S1234" s="7"/>
    </row>
    <row r="1235" spans="1:19" x14ac:dyDescent="0.3">
      <c r="A1235" t="s">
        <v>1283</v>
      </c>
      <c r="B1235" t="s">
        <v>12</v>
      </c>
      <c r="C1235" t="s">
        <v>61</v>
      </c>
      <c r="D1235" s="5">
        <v>37401193</v>
      </c>
      <c r="E1235">
        <v>14808641.75</v>
      </c>
      <c r="F1235" t="s">
        <v>33</v>
      </c>
      <c r="G1235">
        <v>54</v>
      </c>
      <c r="H1235" s="1">
        <f t="shared" si="19"/>
        <v>45473</v>
      </c>
      <c r="I1235" t="s">
        <v>15</v>
      </c>
      <c r="J1235" s="1">
        <v>43815</v>
      </c>
      <c r="K1235" t="s">
        <v>22</v>
      </c>
      <c r="L1235" s="3">
        <v>5.04E-2</v>
      </c>
      <c r="M1235" t="s">
        <v>17</v>
      </c>
      <c r="N1235" t="s">
        <v>18</v>
      </c>
      <c r="O1235">
        <v>46948032.950000003</v>
      </c>
      <c r="P1235" s="1">
        <v>46022</v>
      </c>
      <c r="R1235" s="7"/>
      <c r="S1235" s="7"/>
    </row>
    <row r="1236" spans="1:19" x14ac:dyDescent="0.3">
      <c r="A1236" t="s">
        <v>1284</v>
      </c>
      <c r="B1236" t="s">
        <v>24</v>
      </c>
      <c r="C1236" t="s">
        <v>32</v>
      </c>
      <c r="D1236" s="5">
        <v>37158</v>
      </c>
      <c r="E1236">
        <v>25864.99</v>
      </c>
      <c r="F1236" t="s">
        <v>33</v>
      </c>
      <c r="G1236">
        <v>360</v>
      </c>
      <c r="H1236" s="1">
        <f t="shared" si="19"/>
        <v>55031</v>
      </c>
      <c r="I1236" t="s">
        <v>15</v>
      </c>
      <c r="J1236" s="1">
        <v>44070</v>
      </c>
      <c r="K1236" t="s">
        <v>22</v>
      </c>
      <c r="L1236" s="3">
        <v>3.3399999999999999E-2</v>
      </c>
      <c r="M1236" t="s">
        <v>29</v>
      </c>
      <c r="N1236" t="s">
        <v>30</v>
      </c>
      <c r="O1236">
        <v>0</v>
      </c>
      <c r="P1236" s="1">
        <v>46022</v>
      </c>
      <c r="R1236" s="7"/>
      <c r="S1236" s="7"/>
    </row>
    <row r="1237" spans="1:19" x14ac:dyDescent="0.3">
      <c r="A1237" t="s">
        <v>1285</v>
      </c>
      <c r="B1237" t="s">
        <v>37</v>
      </c>
      <c r="C1237" t="s">
        <v>92</v>
      </c>
      <c r="D1237" s="5">
        <v>265510022</v>
      </c>
      <c r="E1237">
        <v>206206402</v>
      </c>
      <c r="F1237" t="s">
        <v>14</v>
      </c>
      <c r="G1237">
        <v>210</v>
      </c>
      <c r="H1237" s="1">
        <f t="shared" si="19"/>
        <v>49248</v>
      </c>
      <c r="I1237" t="s">
        <v>15</v>
      </c>
      <c r="J1237" s="1">
        <v>42846</v>
      </c>
      <c r="K1237" t="s">
        <v>39</v>
      </c>
      <c r="L1237" s="3">
        <v>7.0699999999999999E-2</v>
      </c>
      <c r="M1237" t="s">
        <v>17</v>
      </c>
      <c r="N1237" t="s">
        <v>54</v>
      </c>
      <c r="O1237">
        <v>377473498.60000002</v>
      </c>
      <c r="P1237" s="1">
        <v>46022</v>
      </c>
      <c r="R1237" s="7"/>
      <c r="S1237" s="7"/>
    </row>
    <row r="1238" spans="1:19" x14ac:dyDescent="0.3">
      <c r="A1238" t="s">
        <v>1286</v>
      </c>
      <c r="B1238" t="s">
        <v>24</v>
      </c>
      <c r="C1238" t="s">
        <v>28</v>
      </c>
      <c r="D1238" s="5">
        <v>4354</v>
      </c>
      <c r="E1238">
        <v>3617.49</v>
      </c>
      <c r="F1238" t="s">
        <v>14</v>
      </c>
      <c r="G1238">
        <v>60</v>
      </c>
      <c r="H1238" s="1">
        <f t="shared" si="19"/>
        <v>46203</v>
      </c>
      <c r="I1238" t="s">
        <v>15</v>
      </c>
      <c r="J1238" s="1">
        <v>44376</v>
      </c>
      <c r="K1238" t="s">
        <v>22</v>
      </c>
      <c r="L1238" s="3">
        <v>3.49E-2</v>
      </c>
      <c r="M1238" t="s">
        <v>29</v>
      </c>
      <c r="N1238" t="s">
        <v>30</v>
      </c>
      <c r="O1238">
        <v>0</v>
      </c>
      <c r="P1238" s="1">
        <v>46022</v>
      </c>
      <c r="R1238" s="7"/>
      <c r="S1238" s="7"/>
    </row>
    <row r="1239" spans="1:19" x14ac:dyDescent="0.3">
      <c r="A1239" t="s">
        <v>1287</v>
      </c>
      <c r="B1239" t="s">
        <v>20</v>
      </c>
      <c r="C1239" t="s">
        <v>89</v>
      </c>
      <c r="D1239" s="5">
        <v>1887009</v>
      </c>
      <c r="E1239">
        <v>1794875.33</v>
      </c>
      <c r="F1239" t="s">
        <v>33</v>
      </c>
      <c r="G1239">
        <v>120</v>
      </c>
      <c r="H1239" s="1">
        <f t="shared" si="19"/>
        <v>49156</v>
      </c>
      <c r="I1239" t="s">
        <v>15</v>
      </c>
      <c r="J1239" s="1">
        <v>45483</v>
      </c>
      <c r="K1239" t="s">
        <v>81</v>
      </c>
      <c r="L1239" s="3">
        <v>4.7100000000000003E-2</v>
      </c>
      <c r="M1239" t="s">
        <v>17</v>
      </c>
      <c r="N1239" t="s">
        <v>18</v>
      </c>
      <c r="O1239">
        <v>3124545.23</v>
      </c>
      <c r="P1239" s="1">
        <v>46022</v>
      </c>
      <c r="R1239" s="7"/>
      <c r="S1239" s="7"/>
    </row>
    <row r="1240" spans="1:19" x14ac:dyDescent="0.3">
      <c r="A1240" t="s">
        <v>1288</v>
      </c>
      <c r="B1240" t="s">
        <v>24</v>
      </c>
      <c r="C1240" t="s">
        <v>32</v>
      </c>
      <c r="D1240" s="5">
        <v>46118</v>
      </c>
      <c r="E1240">
        <v>17599.73</v>
      </c>
      <c r="F1240" t="s">
        <v>33</v>
      </c>
      <c r="G1240">
        <v>324</v>
      </c>
      <c r="H1240" s="1">
        <f t="shared" si="19"/>
        <v>52901</v>
      </c>
      <c r="I1240" t="s">
        <v>15</v>
      </c>
      <c r="J1240" s="1">
        <v>43031</v>
      </c>
      <c r="K1240" t="s">
        <v>56</v>
      </c>
      <c r="L1240" s="3">
        <v>3.3000000000000002E-2</v>
      </c>
      <c r="M1240" t="s">
        <v>29</v>
      </c>
      <c r="N1240" t="s">
        <v>30</v>
      </c>
      <c r="O1240">
        <v>0</v>
      </c>
      <c r="P1240" s="1">
        <v>46022</v>
      </c>
      <c r="R1240" s="7"/>
      <c r="S1240" s="7"/>
    </row>
    <row r="1241" spans="1:19" x14ac:dyDescent="0.3">
      <c r="A1241" t="s">
        <v>1289</v>
      </c>
      <c r="B1241" t="s">
        <v>12</v>
      </c>
      <c r="C1241" t="s">
        <v>26</v>
      </c>
      <c r="D1241" s="5">
        <v>29637997</v>
      </c>
      <c r="E1241">
        <v>25863769.890000001</v>
      </c>
      <c r="F1241" t="s">
        <v>14</v>
      </c>
      <c r="G1241">
        <v>252</v>
      </c>
      <c r="H1241" s="1">
        <f t="shared" si="19"/>
        <v>49521</v>
      </c>
      <c r="I1241" t="s">
        <v>15</v>
      </c>
      <c r="J1241" s="1">
        <v>41822</v>
      </c>
      <c r="K1241" t="s">
        <v>22</v>
      </c>
      <c r="L1241" s="3">
        <v>4.5199999999999997E-2</v>
      </c>
      <c r="M1241" t="s">
        <v>17</v>
      </c>
      <c r="N1241" t="s">
        <v>42</v>
      </c>
      <c r="O1241">
        <v>56403172.939999998</v>
      </c>
      <c r="P1241" s="1">
        <v>46022</v>
      </c>
      <c r="R1241" s="7"/>
      <c r="S1241" s="7"/>
    </row>
    <row r="1242" spans="1:19" x14ac:dyDescent="0.3">
      <c r="A1242" t="s">
        <v>1290</v>
      </c>
      <c r="B1242" t="s">
        <v>20</v>
      </c>
      <c r="C1242" t="s">
        <v>21</v>
      </c>
      <c r="D1242" s="5">
        <v>2714743</v>
      </c>
      <c r="E1242" s="4">
        <v>593220.81999999995</v>
      </c>
      <c r="F1242" t="s">
        <v>14</v>
      </c>
      <c r="G1242">
        <v>132</v>
      </c>
      <c r="H1242" s="1">
        <f t="shared" si="19"/>
        <v>46053</v>
      </c>
      <c r="I1242" t="s">
        <v>15</v>
      </c>
      <c r="J1242" s="1">
        <v>42019</v>
      </c>
      <c r="K1242" t="s">
        <v>101</v>
      </c>
      <c r="L1242" s="3">
        <v>0.13849999999999998</v>
      </c>
      <c r="M1242" t="s">
        <v>29</v>
      </c>
      <c r="N1242" t="s">
        <v>30</v>
      </c>
      <c r="O1242">
        <v>0</v>
      </c>
      <c r="P1242" s="1">
        <v>46022</v>
      </c>
      <c r="R1242" s="7"/>
      <c r="S1242" s="7"/>
    </row>
    <row r="1243" spans="1:19" x14ac:dyDescent="0.3">
      <c r="A1243" t="s">
        <v>1291</v>
      </c>
      <c r="B1243" t="s">
        <v>24</v>
      </c>
      <c r="C1243" t="s">
        <v>41</v>
      </c>
      <c r="D1243" s="5">
        <v>34197</v>
      </c>
      <c r="E1243">
        <v>25118.82</v>
      </c>
      <c r="F1243" t="s">
        <v>14</v>
      </c>
      <c r="G1243">
        <v>114</v>
      </c>
      <c r="H1243" s="1">
        <f t="shared" si="19"/>
        <v>46965</v>
      </c>
      <c r="I1243" t="s">
        <v>15</v>
      </c>
      <c r="J1243" s="1">
        <v>43489</v>
      </c>
      <c r="K1243" t="s">
        <v>39</v>
      </c>
      <c r="L1243" s="3">
        <v>6.6199999999999995E-2</v>
      </c>
      <c r="M1243" t="s">
        <v>17</v>
      </c>
      <c r="N1243" t="s">
        <v>42</v>
      </c>
      <c r="O1243">
        <v>38719.96</v>
      </c>
      <c r="P1243" s="1">
        <v>46022</v>
      </c>
      <c r="R1243" s="7"/>
      <c r="S1243" s="7"/>
    </row>
    <row r="1244" spans="1:19" x14ac:dyDescent="0.3">
      <c r="A1244" t="s">
        <v>1292</v>
      </c>
      <c r="B1244" t="s">
        <v>24</v>
      </c>
      <c r="C1244" t="s">
        <v>28</v>
      </c>
      <c r="D1244" s="5">
        <v>19054</v>
      </c>
      <c r="E1244">
        <v>14629.28</v>
      </c>
      <c r="F1244" t="s">
        <v>48</v>
      </c>
      <c r="G1244">
        <v>180</v>
      </c>
      <c r="H1244" s="1">
        <f t="shared" si="19"/>
        <v>47208</v>
      </c>
      <c r="I1244" t="s">
        <v>15</v>
      </c>
      <c r="J1244" s="1">
        <v>41702</v>
      </c>
      <c r="K1244" t="s">
        <v>56</v>
      </c>
      <c r="L1244" s="3">
        <v>3.0099999999999998E-2</v>
      </c>
      <c r="M1244" t="s">
        <v>29</v>
      </c>
      <c r="N1244" t="s">
        <v>30</v>
      </c>
      <c r="O1244">
        <v>0</v>
      </c>
      <c r="P1244" s="1">
        <v>46022</v>
      </c>
      <c r="R1244" s="7"/>
      <c r="S1244" s="7"/>
    </row>
    <row r="1245" spans="1:19" x14ac:dyDescent="0.3">
      <c r="A1245" t="s">
        <v>1293</v>
      </c>
      <c r="B1245" t="s">
        <v>20</v>
      </c>
      <c r="C1245" t="s">
        <v>21</v>
      </c>
      <c r="D1245" s="5">
        <v>4481963</v>
      </c>
      <c r="E1245">
        <v>3181973.84</v>
      </c>
      <c r="F1245" t="s">
        <v>33</v>
      </c>
      <c r="G1245">
        <v>318</v>
      </c>
      <c r="H1245" s="1">
        <f t="shared" si="19"/>
        <v>55184</v>
      </c>
      <c r="I1245" t="s">
        <v>15</v>
      </c>
      <c r="J1245" s="1">
        <v>45497</v>
      </c>
      <c r="K1245" t="s">
        <v>35</v>
      </c>
      <c r="L1245" s="3">
        <v>5.7599999999999998E-2</v>
      </c>
      <c r="M1245" t="s">
        <v>29</v>
      </c>
      <c r="N1245" t="s">
        <v>30</v>
      </c>
      <c r="O1245">
        <v>0</v>
      </c>
      <c r="P1245" s="1">
        <v>46022</v>
      </c>
      <c r="R1245" s="7"/>
      <c r="S1245" s="7"/>
    </row>
    <row r="1246" spans="1:19" x14ac:dyDescent="0.3">
      <c r="A1246" t="s">
        <v>1294</v>
      </c>
      <c r="B1246" t="s">
        <v>12</v>
      </c>
      <c r="C1246" t="s">
        <v>61</v>
      </c>
      <c r="D1246" s="5">
        <v>33656689</v>
      </c>
      <c r="E1246">
        <v>11008539.75</v>
      </c>
      <c r="F1246" t="s">
        <v>14</v>
      </c>
      <c r="G1246">
        <v>168</v>
      </c>
      <c r="H1246" s="1">
        <f t="shared" si="19"/>
        <v>49795</v>
      </c>
      <c r="I1246" t="s">
        <v>15</v>
      </c>
      <c r="J1246" s="1">
        <v>44680</v>
      </c>
      <c r="K1246" t="s">
        <v>39</v>
      </c>
      <c r="L1246" s="3">
        <v>7.4099999999999999E-2</v>
      </c>
      <c r="M1246" t="s">
        <v>17</v>
      </c>
      <c r="N1246" t="s">
        <v>54</v>
      </c>
      <c r="O1246">
        <v>47531484.439999998</v>
      </c>
      <c r="P1246" s="1">
        <v>46022</v>
      </c>
      <c r="R1246" s="7"/>
      <c r="S1246" s="7"/>
    </row>
    <row r="1247" spans="1:19" x14ac:dyDescent="0.3">
      <c r="A1247" t="s">
        <v>1295</v>
      </c>
      <c r="B1247" t="s">
        <v>24</v>
      </c>
      <c r="C1247" t="s">
        <v>28</v>
      </c>
      <c r="D1247" s="5">
        <v>39582</v>
      </c>
      <c r="E1247">
        <v>35059.279999999999</v>
      </c>
      <c r="F1247" t="s">
        <v>33</v>
      </c>
      <c r="G1247">
        <v>210</v>
      </c>
      <c r="H1247" s="1">
        <f t="shared" si="19"/>
        <v>47603</v>
      </c>
      <c r="I1247" t="s">
        <v>15</v>
      </c>
      <c r="J1247" s="1">
        <v>41186</v>
      </c>
      <c r="K1247" t="s">
        <v>39</v>
      </c>
      <c r="L1247" s="3">
        <v>6.3700000000000007E-2</v>
      </c>
      <c r="M1247" t="s">
        <v>29</v>
      </c>
      <c r="N1247" t="s">
        <v>30</v>
      </c>
      <c r="O1247">
        <v>0</v>
      </c>
      <c r="P1247" s="1">
        <v>46022</v>
      </c>
      <c r="R1247" s="7"/>
      <c r="S1247" s="7"/>
    </row>
    <row r="1248" spans="1:19" x14ac:dyDescent="0.3">
      <c r="A1248" t="s">
        <v>1296</v>
      </c>
      <c r="B1248" t="s">
        <v>24</v>
      </c>
      <c r="C1248" t="s">
        <v>28</v>
      </c>
      <c r="D1248" s="5">
        <v>23263</v>
      </c>
      <c r="E1248">
        <v>5861.62</v>
      </c>
      <c r="F1248" t="s">
        <v>33</v>
      </c>
      <c r="G1248">
        <v>258</v>
      </c>
      <c r="H1248" s="1">
        <f t="shared" si="19"/>
        <v>49368</v>
      </c>
      <c r="I1248" t="s">
        <v>15</v>
      </c>
      <c r="J1248" s="1">
        <v>41516</v>
      </c>
      <c r="K1248" t="s">
        <v>39</v>
      </c>
      <c r="L1248" s="3">
        <v>7.2300000000000003E-2</v>
      </c>
      <c r="M1248" t="s">
        <v>29</v>
      </c>
      <c r="N1248" t="s">
        <v>30</v>
      </c>
      <c r="O1248">
        <v>0</v>
      </c>
      <c r="P1248" s="1">
        <v>46022</v>
      </c>
      <c r="R1248" s="7"/>
      <c r="S1248" s="7"/>
    </row>
    <row r="1249" spans="1:19" x14ac:dyDescent="0.3">
      <c r="A1249" t="s">
        <v>1297</v>
      </c>
      <c r="B1249" t="s">
        <v>24</v>
      </c>
      <c r="C1249" t="s">
        <v>41</v>
      </c>
      <c r="D1249" s="5">
        <v>66722</v>
      </c>
      <c r="E1249">
        <v>9893</v>
      </c>
      <c r="F1249" t="s">
        <v>14</v>
      </c>
      <c r="G1249">
        <v>66</v>
      </c>
      <c r="H1249" s="1">
        <f t="shared" si="19"/>
        <v>46022</v>
      </c>
      <c r="I1249" t="s">
        <v>15</v>
      </c>
      <c r="J1249" s="1">
        <v>43994</v>
      </c>
      <c r="K1249" t="s">
        <v>39</v>
      </c>
      <c r="L1249" s="3">
        <v>5.45E-2</v>
      </c>
      <c r="M1249" t="s">
        <v>17</v>
      </c>
      <c r="N1249" t="s">
        <v>42</v>
      </c>
      <c r="O1249">
        <v>77749.2</v>
      </c>
      <c r="P1249" s="1">
        <v>46022</v>
      </c>
      <c r="R1249" s="7"/>
      <c r="S1249" s="7"/>
    </row>
    <row r="1250" spans="1:19" x14ac:dyDescent="0.3">
      <c r="A1250" t="s">
        <v>1298</v>
      </c>
      <c r="B1250" t="s">
        <v>20</v>
      </c>
      <c r="C1250" t="s">
        <v>89</v>
      </c>
      <c r="D1250" s="5">
        <v>1279499</v>
      </c>
      <c r="E1250">
        <v>954145.96</v>
      </c>
      <c r="F1250" t="s">
        <v>14</v>
      </c>
      <c r="G1250">
        <v>186</v>
      </c>
      <c r="H1250" s="1">
        <f t="shared" si="19"/>
        <v>50221</v>
      </c>
      <c r="I1250" t="s">
        <v>15</v>
      </c>
      <c r="J1250" s="1">
        <v>44532</v>
      </c>
      <c r="K1250" t="s">
        <v>56</v>
      </c>
      <c r="L1250" s="3">
        <v>2.3099999999999999E-2</v>
      </c>
      <c r="M1250" t="s">
        <v>29</v>
      </c>
      <c r="N1250" t="s">
        <v>30</v>
      </c>
      <c r="O1250">
        <v>0</v>
      </c>
      <c r="P1250" s="1">
        <v>46022</v>
      </c>
      <c r="R1250" s="7"/>
      <c r="S1250" s="7"/>
    </row>
    <row r="1251" spans="1:19" x14ac:dyDescent="0.3">
      <c r="A1251" t="s">
        <v>1299</v>
      </c>
      <c r="B1251" t="s">
        <v>24</v>
      </c>
      <c r="C1251" t="s">
        <v>32</v>
      </c>
      <c r="D1251" s="5">
        <v>35568</v>
      </c>
      <c r="E1251">
        <v>18777.13</v>
      </c>
      <c r="F1251" t="s">
        <v>33</v>
      </c>
      <c r="G1251">
        <v>294</v>
      </c>
      <c r="H1251" s="1">
        <f t="shared" si="19"/>
        <v>54423</v>
      </c>
      <c r="I1251" t="s">
        <v>15</v>
      </c>
      <c r="J1251" s="1">
        <v>45468</v>
      </c>
      <c r="K1251" t="s">
        <v>39</v>
      </c>
      <c r="L1251" s="3">
        <v>9.4299999999999995E-2</v>
      </c>
      <c r="M1251" t="s">
        <v>29</v>
      </c>
      <c r="N1251" t="s">
        <v>30</v>
      </c>
      <c r="O1251">
        <v>0</v>
      </c>
      <c r="P1251" s="1">
        <v>46022</v>
      </c>
      <c r="R1251" s="7"/>
      <c r="S1251" s="7"/>
    </row>
    <row r="1252" spans="1:19" x14ac:dyDescent="0.3">
      <c r="A1252" t="s">
        <v>1300</v>
      </c>
      <c r="B1252" t="s">
        <v>20</v>
      </c>
      <c r="C1252" t="s">
        <v>51</v>
      </c>
      <c r="D1252" s="5">
        <v>2166627</v>
      </c>
      <c r="E1252">
        <v>1872373.18</v>
      </c>
      <c r="F1252" t="s">
        <v>48</v>
      </c>
      <c r="G1252">
        <v>288</v>
      </c>
      <c r="H1252" s="1">
        <f t="shared" si="19"/>
        <v>52840</v>
      </c>
      <c r="I1252" t="s">
        <v>15</v>
      </c>
      <c r="J1252" s="1">
        <v>44046</v>
      </c>
      <c r="K1252" t="s">
        <v>39</v>
      </c>
      <c r="L1252" s="3">
        <v>5.5800000000000002E-2</v>
      </c>
      <c r="M1252" t="s">
        <v>17</v>
      </c>
      <c r="N1252" t="s">
        <v>26</v>
      </c>
      <c r="O1252">
        <v>2611442.0299999998</v>
      </c>
      <c r="P1252" s="1">
        <v>46022</v>
      </c>
      <c r="R1252" s="7"/>
      <c r="S1252" s="7"/>
    </row>
    <row r="1253" spans="1:19" x14ac:dyDescent="0.3">
      <c r="A1253" t="s">
        <v>1301</v>
      </c>
      <c r="B1253" t="s">
        <v>12</v>
      </c>
      <c r="C1253" t="s">
        <v>26</v>
      </c>
      <c r="D1253" s="5">
        <v>22684730</v>
      </c>
      <c r="E1253">
        <v>10096007.67</v>
      </c>
      <c r="F1253" t="s">
        <v>33</v>
      </c>
      <c r="G1253">
        <v>234</v>
      </c>
      <c r="H1253" s="1">
        <f t="shared" si="19"/>
        <v>48548</v>
      </c>
      <c r="I1253" t="s">
        <v>15</v>
      </c>
      <c r="J1253" s="1">
        <v>41407</v>
      </c>
      <c r="K1253" t="s">
        <v>22</v>
      </c>
      <c r="L1253" s="3">
        <v>4.4999999999999998E-2</v>
      </c>
      <c r="M1253" t="s">
        <v>17</v>
      </c>
      <c r="N1253" t="s">
        <v>42</v>
      </c>
      <c r="O1253">
        <v>42974436.009999998</v>
      </c>
      <c r="P1253" s="1">
        <v>46022</v>
      </c>
      <c r="R1253" s="7"/>
      <c r="S1253" s="7"/>
    </row>
    <row r="1254" spans="1:19" x14ac:dyDescent="0.3">
      <c r="A1254" t="s">
        <v>1302</v>
      </c>
      <c r="B1254" t="s">
        <v>24</v>
      </c>
      <c r="C1254" t="s">
        <v>28</v>
      </c>
      <c r="D1254" s="5">
        <v>32817</v>
      </c>
      <c r="E1254">
        <v>8251.81</v>
      </c>
      <c r="F1254" t="s">
        <v>14</v>
      </c>
      <c r="G1254">
        <v>216</v>
      </c>
      <c r="H1254" s="1">
        <f t="shared" si="19"/>
        <v>48273</v>
      </c>
      <c r="I1254" t="s">
        <v>15</v>
      </c>
      <c r="J1254" s="1">
        <v>41694</v>
      </c>
      <c r="K1254" t="s">
        <v>39</v>
      </c>
      <c r="L1254" s="3">
        <v>6.6299999999999998E-2</v>
      </c>
      <c r="M1254" t="s">
        <v>29</v>
      </c>
      <c r="N1254" t="s">
        <v>30</v>
      </c>
      <c r="O1254">
        <v>0</v>
      </c>
      <c r="P1254" s="1">
        <v>46022</v>
      </c>
      <c r="R1254" s="7"/>
      <c r="S1254" s="7"/>
    </row>
    <row r="1255" spans="1:19" x14ac:dyDescent="0.3">
      <c r="A1255" t="s">
        <v>1303</v>
      </c>
      <c r="B1255" t="s">
        <v>37</v>
      </c>
      <c r="C1255" t="s">
        <v>92</v>
      </c>
      <c r="D1255" s="5">
        <v>468777505</v>
      </c>
      <c r="E1255">
        <v>399772505.80000001</v>
      </c>
      <c r="F1255" t="s">
        <v>33</v>
      </c>
      <c r="G1255">
        <v>180</v>
      </c>
      <c r="H1255" s="1">
        <f t="shared" si="19"/>
        <v>48730</v>
      </c>
      <c r="I1255" t="s">
        <v>15</v>
      </c>
      <c r="J1255" s="1">
        <v>43233</v>
      </c>
      <c r="K1255" t="s">
        <v>35</v>
      </c>
      <c r="L1255" s="3">
        <v>4.8799999999999996E-2</v>
      </c>
      <c r="M1255" t="s">
        <v>17</v>
      </c>
      <c r="N1255" t="s">
        <v>26</v>
      </c>
      <c r="O1255">
        <v>637099881.39999998</v>
      </c>
      <c r="P1255" s="1">
        <v>46022</v>
      </c>
      <c r="R1255" s="7"/>
      <c r="S1255" s="7"/>
    </row>
    <row r="1256" spans="1:19" x14ac:dyDescent="0.3">
      <c r="A1256" t="s">
        <v>1304</v>
      </c>
      <c r="B1256" t="s">
        <v>20</v>
      </c>
      <c r="C1256" t="s">
        <v>21</v>
      </c>
      <c r="D1256" s="5">
        <v>366831</v>
      </c>
      <c r="E1256">
        <v>217904.71</v>
      </c>
      <c r="F1256" t="s">
        <v>48</v>
      </c>
      <c r="G1256">
        <v>138</v>
      </c>
      <c r="H1256" s="1">
        <f t="shared" si="19"/>
        <v>48610</v>
      </c>
      <c r="I1256" t="s">
        <v>15</v>
      </c>
      <c r="J1256" s="1">
        <v>44407</v>
      </c>
      <c r="K1256" t="s">
        <v>56</v>
      </c>
      <c r="L1256" s="3">
        <v>2.46E-2</v>
      </c>
      <c r="M1256" t="s">
        <v>29</v>
      </c>
      <c r="N1256" t="s">
        <v>30</v>
      </c>
      <c r="O1256">
        <v>0</v>
      </c>
      <c r="P1256" s="1">
        <v>46022</v>
      </c>
      <c r="R1256" s="7"/>
      <c r="S1256" s="7"/>
    </row>
    <row r="1257" spans="1:19" x14ac:dyDescent="0.3">
      <c r="A1257" t="s">
        <v>1305</v>
      </c>
      <c r="B1257" t="s">
        <v>37</v>
      </c>
      <c r="C1257" t="s">
        <v>74</v>
      </c>
      <c r="D1257" s="5">
        <v>414124186</v>
      </c>
      <c r="E1257">
        <v>111927916.90000001</v>
      </c>
      <c r="F1257" t="s">
        <v>48</v>
      </c>
      <c r="G1257">
        <v>114</v>
      </c>
      <c r="H1257" s="1">
        <f t="shared" si="19"/>
        <v>47361</v>
      </c>
      <c r="I1257" t="s">
        <v>15</v>
      </c>
      <c r="J1257" s="1">
        <v>43890</v>
      </c>
      <c r="K1257" t="s">
        <v>35</v>
      </c>
      <c r="L1257" s="3">
        <v>3.5900000000000001E-2</v>
      </c>
      <c r="M1257" t="s">
        <v>17</v>
      </c>
      <c r="N1257" t="s">
        <v>18</v>
      </c>
      <c r="O1257">
        <v>672837388.60000002</v>
      </c>
      <c r="P1257" s="1">
        <v>46022</v>
      </c>
      <c r="R1257" s="7"/>
      <c r="S1257" s="7"/>
    </row>
    <row r="1258" spans="1:19" x14ac:dyDescent="0.3">
      <c r="A1258" t="s">
        <v>1306</v>
      </c>
      <c r="B1258" t="s">
        <v>24</v>
      </c>
      <c r="C1258" t="s">
        <v>25</v>
      </c>
      <c r="D1258" s="5">
        <v>363145</v>
      </c>
      <c r="E1258">
        <v>271757.81</v>
      </c>
      <c r="F1258" t="s">
        <v>14</v>
      </c>
      <c r="G1258">
        <v>72</v>
      </c>
      <c r="H1258" s="1">
        <f t="shared" si="19"/>
        <v>46356</v>
      </c>
      <c r="I1258" t="s">
        <v>15</v>
      </c>
      <c r="J1258" s="1">
        <v>44153</v>
      </c>
      <c r="K1258" t="s">
        <v>35</v>
      </c>
      <c r="L1258" s="3">
        <v>3.5400000000000001E-2</v>
      </c>
      <c r="M1258" t="s">
        <v>17</v>
      </c>
      <c r="N1258" t="s">
        <v>26</v>
      </c>
      <c r="O1258">
        <v>442198.78</v>
      </c>
      <c r="P1258" s="1">
        <v>46022</v>
      </c>
      <c r="R1258" s="7"/>
      <c r="S1258" s="7"/>
    </row>
    <row r="1259" spans="1:19" x14ac:dyDescent="0.3">
      <c r="A1259" t="s">
        <v>1307</v>
      </c>
      <c r="B1259" t="s">
        <v>24</v>
      </c>
      <c r="C1259" t="s">
        <v>41</v>
      </c>
      <c r="D1259" s="5">
        <v>49953</v>
      </c>
      <c r="E1259">
        <v>27973.65</v>
      </c>
      <c r="F1259" t="s">
        <v>14</v>
      </c>
      <c r="G1259">
        <v>90</v>
      </c>
      <c r="H1259" s="1">
        <f t="shared" si="19"/>
        <v>46142</v>
      </c>
      <c r="I1259" t="s">
        <v>15</v>
      </c>
      <c r="J1259" s="1">
        <v>43377</v>
      </c>
      <c r="K1259" t="s">
        <v>22</v>
      </c>
      <c r="L1259" s="3">
        <v>5.5300000000000002E-2</v>
      </c>
      <c r="M1259" t="s">
        <v>17</v>
      </c>
      <c r="N1259" t="s">
        <v>42</v>
      </c>
      <c r="O1259">
        <v>60466.54</v>
      </c>
      <c r="P1259" s="1">
        <v>46022</v>
      </c>
      <c r="R1259" s="7"/>
      <c r="S1259" s="7"/>
    </row>
    <row r="1260" spans="1:19" x14ac:dyDescent="0.3">
      <c r="A1260" t="s">
        <v>1308</v>
      </c>
      <c r="B1260" t="s">
        <v>24</v>
      </c>
      <c r="C1260" t="s">
        <v>25</v>
      </c>
      <c r="D1260" s="5">
        <v>119722</v>
      </c>
      <c r="E1260">
        <v>77086.8</v>
      </c>
      <c r="F1260" t="s">
        <v>14</v>
      </c>
      <c r="G1260">
        <v>186</v>
      </c>
      <c r="H1260" s="1">
        <f t="shared" si="19"/>
        <v>46477</v>
      </c>
      <c r="I1260" t="s">
        <v>15</v>
      </c>
      <c r="J1260" s="1">
        <v>40793</v>
      </c>
      <c r="K1260" t="s">
        <v>22</v>
      </c>
      <c r="L1260" s="3">
        <v>6.0899999999999996E-2</v>
      </c>
      <c r="M1260" t="s">
        <v>17</v>
      </c>
      <c r="N1260" t="s">
        <v>26</v>
      </c>
      <c r="O1260">
        <v>141776.28</v>
      </c>
      <c r="P1260" s="1">
        <v>46022</v>
      </c>
      <c r="R1260" s="7"/>
      <c r="S1260" s="7"/>
    </row>
    <row r="1261" spans="1:19" x14ac:dyDescent="0.3">
      <c r="A1261" t="s">
        <v>1309</v>
      </c>
      <c r="B1261" t="s">
        <v>20</v>
      </c>
      <c r="C1261" t="s">
        <v>51</v>
      </c>
      <c r="D1261" s="5">
        <v>1540178</v>
      </c>
      <c r="E1261">
        <v>792896.78</v>
      </c>
      <c r="F1261" t="s">
        <v>48</v>
      </c>
      <c r="G1261">
        <v>258</v>
      </c>
      <c r="H1261" s="1">
        <f t="shared" si="19"/>
        <v>49248</v>
      </c>
      <c r="I1261" t="s">
        <v>15</v>
      </c>
      <c r="J1261" s="1">
        <v>41381</v>
      </c>
      <c r="K1261" t="s">
        <v>22</v>
      </c>
      <c r="L1261" s="3">
        <v>4.8300000000000003E-2</v>
      </c>
      <c r="M1261" t="s">
        <v>17</v>
      </c>
      <c r="N1261" t="s">
        <v>18</v>
      </c>
      <c r="O1261">
        <v>2286677.73</v>
      </c>
      <c r="P1261" s="1">
        <v>46022</v>
      </c>
      <c r="R1261" s="7"/>
      <c r="S1261" s="7"/>
    </row>
    <row r="1262" spans="1:19" x14ac:dyDescent="0.3">
      <c r="A1262" t="s">
        <v>1310</v>
      </c>
      <c r="B1262" t="s">
        <v>24</v>
      </c>
      <c r="C1262" t="s">
        <v>25</v>
      </c>
      <c r="D1262" s="5">
        <v>552368</v>
      </c>
      <c r="E1262">
        <v>467213.99</v>
      </c>
      <c r="F1262" t="s">
        <v>14</v>
      </c>
      <c r="G1262">
        <v>222</v>
      </c>
      <c r="H1262" s="1">
        <f t="shared" si="19"/>
        <v>50556</v>
      </c>
      <c r="I1262" t="s">
        <v>15</v>
      </c>
      <c r="J1262" s="1">
        <v>43796</v>
      </c>
      <c r="K1262" t="s">
        <v>22</v>
      </c>
      <c r="L1262" s="3">
        <v>4.2099999999999999E-2</v>
      </c>
      <c r="M1262" t="s">
        <v>17</v>
      </c>
      <c r="N1262" t="s">
        <v>26</v>
      </c>
      <c r="O1262">
        <v>657922.96</v>
      </c>
      <c r="P1262" s="1">
        <v>46022</v>
      </c>
      <c r="R1262" s="7"/>
      <c r="S1262" s="7"/>
    </row>
    <row r="1263" spans="1:19" x14ac:dyDescent="0.3">
      <c r="A1263" t="s">
        <v>1311</v>
      </c>
      <c r="B1263" t="s">
        <v>20</v>
      </c>
      <c r="C1263" t="s">
        <v>89</v>
      </c>
      <c r="D1263" s="5">
        <v>328072</v>
      </c>
      <c r="E1263">
        <v>277747.51</v>
      </c>
      <c r="F1263" t="s">
        <v>14</v>
      </c>
      <c r="G1263">
        <v>222</v>
      </c>
      <c r="H1263" s="1">
        <f t="shared" si="19"/>
        <v>51043</v>
      </c>
      <c r="I1263" t="s">
        <v>15</v>
      </c>
      <c r="J1263" s="1">
        <v>44263</v>
      </c>
      <c r="K1263" t="s">
        <v>22</v>
      </c>
      <c r="L1263" s="3">
        <v>4.2300000000000004E-2</v>
      </c>
      <c r="M1263" t="s">
        <v>17</v>
      </c>
      <c r="N1263" t="s">
        <v>26</v>
      </c>
      <c r="O1263">
        <v>613670.35</v>
      </c>
      <c r="P1263" s="1">
        <v>46022</v>
      </c>
      <c r="R1263" s="7"/>
      <c r="S1263" s="7"/>
    </row>
    <row r="1264" spans="1:19" x14ac:dyDescent="0.3">
      <c r="A1264" t="s">
        <v>1312</v>
      </c>
      <c r="B1264" t="s">
        <v>24</v>
      </c>
      <c r="C1264" t="s">
        <v>25</v>
      </c>
      <c r="D1264" s="5">
        <v>541986</v>
      </c>
      <c r="E1264">
        <v>400229.65</v>
      </c>
      <c r="F1264" t="s">
        <v>14</v>
      </c>
      <c r="G1264">
        <v>90</v>
      </c>
      <c r="H1264" s="1">
        <f t="shared" si="19"/>
        <v>46752</v>
      </c>
      <c r="I1264" t="s">
        <v>15</v>
      </c>
      <c r="J1264" s="1">
        <v>43999</v>
      </c>
      <c r="K1264" t="s">
        <v>56</v>
      </c>
      <c r="L1264" s="3">
        <v>1.55E-2</v>
      </c>
      <c r="M1264" t="s">
        <v>17</v>
      </c>
      <c r="N1264" t="s">
        <v>26</v>
      </c>
      <c r="O1264">
        <v>755311.84</v>
      </c>
      <c r="P1264" s="1">
        <v>46022</v>
      </c>
      <c r="R1264" s="7"/>
      <c r="S1264" s="7"/>
    </row>
    <row r="1265" spans="1:19" x14ac:dyDescent="0.3">
      <c r="A1265" t="s">
        <v>1313</v>
      </c>
      <c r="B1265" t="s">
        <v>24</v>
      </c>
      <c r="C1265" t="s">
        <v>28</v>
      </c>
      <c r="D1265" s="5">
        <v>46428</v>
      </c>
      <c r="E1265">
        <v>9047.1</v>
      </c>
      <c r="F1265" t="s">
        <v>14</v>
      </c>
      <c r="G1265">
        <v>174</v>
      </c>
      <c r="H1265" s="1">
        <f t="shared" si="19"/>
        <v>47603</v>
      </c>
      <c r="I1265" t="s">
        <v>15</v>
      </c>
      <c r="J1265" s="1">
        <v>42292</v>
      </c>
      <c r="K1265" t="s">
        <v>39</v>
      </c>
      <c r="L1265" s="3">
        <v>7.980000000000001E-2</v>
      </c>
      <c r="M1265" t="s">
        <v>29</v>
      </c>
      <c r="N1265" t="s">
        <v>30</v>
      </c>
      <c r="O1265">
        <v>0</v>
      </c>
      <c r="P1265" s="1">
        <v>46022</v>
      </c>
      <c r="R1265" s="7"/>
      <c r="S1265" s="7"/>
    </row>
    <row r="1266" spans="1:19" x14ac:dyDescent="0.3">
      <c r="A1266" t="s">
        <v>1314</v>
      </c>
      <c r="B1266" t="s">
        <v>12</v>
      </c>
      <c r="C1266" t="s">
        <v>26</v>
      </c>
      <c r="D1266" s="5">
        <v>6164268</v>
      </c>
      <c r="E1266">
        <v>5270254.55</v>
      </c>
      <c r="F1266" t="s">
        <v>48</v>
      </c>
      <c r="G1266">
        <v>300</v>
      </c>
      <c r="H1266" s="1">
        <f t="shared" si="19"/>
        <v>52748</v>
      </c>
      <c r="I1266" t="s">
        <v>15</v>
      </c>
      <c r="J1266" s="1">
        <v>43615</v>
      </c>
      <c r="K1266" t="s">
        <v>22</v>
      </c>
      <c r="L1266" s="3">
        <v>5.0599999999999999E-2</v>
      </c>
      <c r="M1266" t="s">
        <v>29</v>
      </c>
      <c r="N1266" t="s">
        <v>30</v>
      </c>
      <c r="O1266">
        <v>0</v>
      </c>
      <c r="P1266" s="1">
        <v>46022</v>
      </c>
      <c r="R1266" s="7"/>
      <c r="S1266" s="7"/>
    </row>
    <row r="1267" spans="1:19" x14ac:dyDescent="0.3">
      <c r="A1267" t="s">
        <v>1315</v>
      </c>
      <c r="B1267" t="s">
        <v>24</v>
      </c>
      <c r="C1267" t="s">
        <v>25</v>
      </c>
      <c r="D1267" s="5">
        <v>787997</v>
      </c>
      <c r="E1267">
        <v>554680.05000000005</v>
      </c>
      <c r="F1267" t="s">
        <v>14</v>
      </c>
      <c r="G1267">
        <v>258</v>
      </c>
      <c r="H1267" s="1">
        <f t="shared" si="19"/>
        <v>52504</v>
      </c>
      <c r="I1267" t="s">
        <v>15</v>
      </c>
      <c r="J1267" s="1">
        <v>44629</v>
      </c>
      <c r="K1267" t="s">
        <v>22</v>
      </c>
      <c r="L1267" s="3">
        <v>5.5999999999999994E-2</v>
      </c>
      <c r="M1267" t="s">
        <v>17</v>
      </c>
      <c r="N1267" t="s">
        <v>26</v>
      </c>
      <c r="O1267">
        <v>933682.67</v>
      </c>
      <c r="P1267" s="1">
        <v>46022</v>
      </c>
      <c r="R1267" s="7"/>
      <c r="S1267" s="7"/>
    </row>
    <row r="1268" spans="1:19" x14ac:dyDescent="0.3">
      <c r="A1268" t="s">
        <v>1316</v>
      </c>
      <c r="B1268" t="s">
        <v>24</v>
      </c>
      <c r="C1268" t="s">
        <v>25</v>
      </c>
      <c r="D1268" s="5">
        <v>468704</v>
      </c>
      <c r="E1268">
        <v>340898.58</v>
      </c>
      <c r="F1268" t="s">
        <v>14</v>
      </c>
      <c r="G1268">
        <v>156</v>
      </c>
      <c r="H1268" s="1">
        <f t="shared" si="19"/>
        <v>50009</v>
      </c>
      <c r="I1268" t="s">
        <v>15</v>
      </c>
      <c r="J1268" s="1">
        <v>45253</v>
      </c>
      <c r="K1268" t="s">
        <v>16</v>
      </c>
      <c r="L1268" s="3">
        <v>0.121</v>
      </c>
      <c r="M1268" t="s">
        <v>17</v>
      </c>
      <c r="N1268" t="s">
        <v>26</v>
      </c>
      <c r="O1268">
        <v>589594.17000000004</v>
      </c>
      <c r="P1268" s="1">
        <v>46022</v>
      </c>
      <c r="R1268" s="7"/>
      <c r="S1268" s="7"/>
    </row>
    <row r="1269" spans="1:19" x14ac:dyDescent="0.3">
      <c r="A1269" t="s">
        <v>1317</v>
      </c>
      <c r="B1269" t="s">
        <v>24</v>
      </c>
      <c r="C1269" t="s">
        <v>41</v>
      </c>
      <c r="D1269" s="5">
        <v>68966</v>
      </c>
      <c r="E1269">
        <v>29426.57</v>
      </c>
      <c r="F1269" t="s">
        <v>14</v>
      </c>
      <c r="G1269">
        <v>264</v>
      </c>
      <c r="H1269" s="1">
        <f t="shared" si="19"/>
        <v>49795</v>
      </c>
      <c r="I1269" t="s">
        <v>15</v>
      </c>
      <c r="J1269" s="1">
        <v>41733</v>
      </c>
      <c r="K1269" t="s">
        <v>39</v>
      </c>
      <c r="L1269" s="3">
        <v>6.9599999999999995E-2</v>
      </c>
      <c r="M1269" t="s">
        <v>17</v>
      </c>
      <c r="N1269" t="s">
        <v>42</v>
      </c>
      <c r="O1269">
        <v>75716.62</v>
      </c>
      <c r="P1269" s="1">
        <v>46022</v>
      </c>
      <c r="R1269" s="7"/>
      <c r="S1269" s="7"/>
    </row>
    <row r="1270" spans="1:19" x14ac:dyDescent="0.3">
      <c r="A1270" t="s">
        <v>1318</v>
      </c>
      <c r="B1270" t="s">
        <v>24</v>
      </c>
      <c r="C1270" t="s">
        <v>28</v>
      </c>
      <c r="D1270" s="5">
        <v>13752</v>
      </c>
      <c r="E1270">
        <v>12257.5</v>
      </c>
      <c r="F1270" t="s">
        <v>14</v>
      </c>
      <c r="G1270">
        <v>60</v>
      </c>
      <c r="H1270" s="1">
        <f t="shared" si="19"/>
        <v>46507</v>
      </c>
      <c r="I1270" t="s">
        <v>15</v>
      </c>
      <c r="J1270" s="1">
        <v>44671</v>
      </c>
      <c r="K1270" t="s">
        <v>16</v>
      </c>
      <c r="L1270" s="3">
        <v>0.10060000000000001</v>
      </c>
      <c r="M1270" t="s">
        <v>29</v>
      </c>
      <c r="N1270" t="s">
        <v>30</v>
      </c>
      <c r="O1270">
        <v>0</v>
      </c>
      <c r="P1270" s="1">
        <v>46022</v>
      </c>
      <c r="R1270" s="7"/>
      <c r="S1270" s="7"/>
    </row>
    <row r="1271" spans="1:19" x14ac:dyDescent="0.3">
      <c r="A1271" t="s">
        <v>1319</v>
      </c>
      <c r="B1271" t="s">
        <v>20</v>
      </c>
      <c r="C1271" t="s">
        <v>89</v>
      </c>
      <c r="D1271" s="5">
        <v>839487</v>
      </c>
      <c r="E1271">
        <v>631994.5</v>
      </c>
      <c r="F1271" t="s">
        <v>48</v>
      </c>
      <c r="G1271">
        <v>120</v>
      </c>
      <c r="H1271" s="1">
        <f t="shared" si="19"/>
        <v>44985</v>
      </c>
      <c r="I1271" t="s">
        <v>15</v>
      </c>
      <c r="J1271" s="1">
        <v>41331</v>
      </c>
      <c r="K1271" t="s">
        <v>22</v>
      </c>
      <c r="L1271" s="3">
        <v>4.6500000000000007E-2</v>
      </c>
      <c r="M1271" t="s">
        <v>17</v>
      </c>
      <c r="N1271" t="s">
        <v>54</v>
      </c>
      <c r="O1271">
        <v>1301293.67</v>
      </c>
      <c r="P1271" s="1">
        <v>46022</v>
      </c>
      <c r="R1271" s="7"/>
      <c r="S1271" s="7"/>
    </row>
    <row r="1272" spans="1:19" x14ac:dyDescent="0.3">
      <c r="A1272" t="s">
        <v>1320</v>
      </c>
      <c r="B1272" t="s">
        <v>20</v>
      </c>
      <c r="C1272" t="s">
        <v>51</v>
      </c>
      <c r="D1272" s="5">
        <v>844290</v>
      </c>
      <c r="E1272">
        <v>169982.09</v>
      </c>
      <c r="F1272" t="s">
        <v>14</v>
      </c>
      <c r="G1272">
        <v>90</v>
      </c>
      <c r="H1272" s="1">
        <f t="shared" si="19"/>
        <v>46934</v>
      </c>
      <c r="I1272" t="s">
        <v>15</v>
      </c>
      <c r="J1272" s="1">
        <v>44183</v>
      </c>
      <c r="K1272" t="s">
        <v>35</v>
      </c>
      <c r="L1272" s="3">
        <v>3.44E-2</v>
      </c>
      <c r="M1272" t="s">
        <v>29</v>
      </c>
      <c r="N1272" t="s">
        <v>30</v>
      </c>
      <c r="O1272">
        <v>0</v>
      </c>
      <c r="P1272" s="1">
        <v>46022</v>
      </c>
      <c r="R1272" s="7"/>
      <c r="S1272" s="7"/>
    </row>
    <row r="1273" spans="1:19" x14ac:dyDescent="0.3">
      <c r="A1273" t="s">
        <v>1321</v>
      </c>
      <c r="B1273" t="s">
        <v>24</v>
      </c>
      <c r="C1273" t="s">
        <v>25</v>
      </c>
      <c r="D1273" s="5">
        <v>163443</v>
      </c>
      <c r="E1273">
        <v>76327.8</v>
      </c>
      <c r="F1273" t="s">
        <v>14</v>
      </c>
      <c r="G1273">
        <v>312</v>
      </c>
      <c r="H1273" s="1">
        <f t="shared" si="19"/>
        <v>53174</v>
      </c>
      <c r="I1273" t="s">
        <v>15</v>
      </c>
      <c r="J1273" s="1">
        <v>43657</v>
      </c>
      <c r="K1273" t="s">
        <v>39</v>
      </c>
      <c r="L1273" s="3">
        <v>6.8499999999999991E-2</v>
      </c>
      <c r="M1273" t="s">
        <v>17</v>
      </c>
      <c r="N1273" t="s">
        <v>26</v>
      </c>
      <c r="O1273">
        <v>197093.25</v>
      </c>
      <c r="P1273" s="1">
        <v>46022</v>
      </c>
      <c r="R1273" s="7"/>
      <c r="S1273" s="7"/>
    </row>
    <row r="1274" spans="1:19" x14ac:dyDescent="0.3">
      <c r="A1274" t="s">
        <v>1322</v>
      </c>
      <c r="B1274" t="s">
        <v>37</v>
      </c>
      <c r="C1274" t="s">
        <v>74</v>
      </c>
      <c r="D1274" s="5">
        <v>100966885</v>
      </c>
      <c r="E1274">
        <v>90642246.519999996</v>
      </c>
      <c r="F1274" t="s">
        <v>48</v>
      </c>
      <c r="G1274">
        <v>60</v>
      </c>
      <c r="H1274" s="1">
        <f t="shared" si="19"/>
        <v>47238</v>
      </c>
      <c r="I1274" t="s">
        <v>15</v>
      </c>
      <c r="J1274" s="1">
        <v>45393</v>
      </c>
      <c r="K1274" t="s">
        <v>35</v>
      </c>
      <c r="L1274" s="3">
        <v>6.1799999999999994E-2</v>
      </c>
      <c r="M1274" t="s">
        <v>29</v>
      </c>
      <c r="N1274" t="s">
        <v>30</v>
      </c>
      <c r="O1274">
        <v>0</v>
      </c>
      <c r="P1274" s="1">
        <v>46022</v>
      </c>
      <c r="R1274" s="7"/>
      <c r="S1274" s="7"/>
    </row>
    <row r="1275" spans="1:19" x14ac:dyDescent="0.3">
      <c r="A1275" t="s">
        <v>1323</v>
      </c>
      <c r="B1275" t="s">
        <v>24</v>
      </c>
      <c r="C1275" t="s">
        <v>41</v>
      </c>
      <c r="D1275" s="5">
        <v>69780</v>
      </c>
      <c r="E1275">
        <v>9942.01</v>
      </c>
      <c r="F1275" t="s">
        <v>14</v>
      </c>
      <c r="G1275">
        <v>132</v>
      </c>
      <c r="H1275" s="1">
        <f t="shared" si="19"/>
        <v>46173</v>
      </c>
      <c r="I1275" t="s">
        <v>15</v>
      </c>
      <c r="J1275" s="1">
        <v>42155</v>
      </c>
      <c r="K1275" t="s">
        <v>22</v>
      </c>
      <c r="L1275" s="3">
        <v>5.4000000000000006E-2</v>
      </c>
      <c r="M1275" t="s">
        <v>17</v>
      </c>
      <c r="N1275" t="s">
        <v>42</v>
      </c>
      <c r="O1275">
        <v>75488.45</v>
      </c>
      <c r="P1275" s="1">
        <v>46022</v>
      </c>
      <c r="R1275" s="7"/>
      <c r="S1275" s="7"/>
    </row>
    <row r="1276" spans="1:19" x14ac:dyDescent="0.3">
      <c r="A1276" t="s">
        <v>1324</v>
      </c>
      <c r="B1276" t="s">
        <v>20</v>
      </c>
      <c r="C1276" t="s">
        <v>21</v>
      </c>
      <c r="D1276" s="5">
        <v>4414369</v>
      </c>
      <c r="E1276">
        <v>4261079.4000000004</v>
      </c>
      <c r="F1276" t="s">
        <v>33</v>
      </c>
      <c r="G1276">
        <v>300</v>
      </c>
      <c r="H1276" s="1">
        <f t="shared" si="19"/>
        <v>52993</v>
      </c>
      <c r="I1276" t="s">
        <v>15</v>
      </c>
      <c r="J1276" s="1">
        <v>43859</v>
      </c>
      <c r="K1276" t="s">
        <v>56</v>
      </c>
      <c r="L1276" s="3">
        <v>1.7899999999999999E-2</v>
      </c>
      <c r="M1276" t="s">
        <v>29</v>
      </c>
      <c r="N1276" t="s">
        <v>30</v>
      </c>
      <c r="O1276">
        <v>0</v>
      </c>
      <c r="P1276" s="1">
        <v>46022</v>
      </c>
      <c r="R1276" s="7"/>
      <c r="S1276" s="7"/>
    </row>
    <row r="1277" spans="1:19" x14ac:dyDescent="0.3">
      <c r="A1277" t="s">
        <v>1325</v>
      </c>
      <c r="B1277" t="s">
        <v>12</v>
      </c>
      <c r="C1277" t="s">
        <v>61</v>
      </c>
      <c r="D1277" s="5">
        <v>40892159</v>
      </c>
      <c r="E1277">
        <v>29084396.969999999</v>
      </c>
      <c r="F1277" t="s">
        <v>48</v>
      </c>
      <c r="G1277">
        <v>228</v>
      </c>
      <c r="H1277" s="1">
        <f t="shared" si="19"/>
        <v>52139</v>
      </c>
      <c r="I1277" t="s">
        <v>15</v>
      </c>
      <c r="J1277" s="1">
        <v>45197</v>
      </c>
      <c r="K1277" t="s">
        <v>39</v>
      </c>
      <c r="L1277" s="3">
        <v>9.7899999999999987E-2</v>
      </c>
      <c r="M1277" t="s">
        <v>17</v>
      </c>
      <c r="N1277" t="s">
        <v>18</v>
      </c>
      <c r="O1277">
        <v>56260150.649999999</v>
      </c>
      <c r="P1277" s="1">
        <v>46022</v>
      </c>
      <c r="R1277" s="7"/>
      <c r="S1277" s="7"/>
    </row>
    <row r="1278" spans="1:19" x14ac:dyDescent="0.3">
      <c r="A1278" t="s">
        <v>1326</v>
      </c>
      <c r="B1278" t="s">
        <v>24</v>
      </c>
      <c r="C1278" t="s">
        <v>28</v>
      </c>
      <c r="D1278" s="5">
        <v>34572</v>
      </c>
      <c r="E1278">
        <v>23102.06</v>
      </c>
      <c r="F1278" t="s">
        <v>48</v>
      </c>
      <c r="G1278">
        <v>138</v>
      </c>
      <c r="H1278" s="1">
        <f t="shared" si="19"/>
        <v>48457</v>
      </c>
      <c r="I1278" t="s">
        <v>15</v>
      </c>
      <c r="J1278" s="1">
        <v>44249</v>
      </c>
      <c r="K1278" t="s">
        <v>35</v>
      </c>
      <c r="L1278" s="3">
        <v>2.8799999999999999E-2</v>
      </c>
      <c r="M1278" t="s">
        <v>29</v>
      </c>
      <c r="N1278" t="s">
        <v>30</v>
      </c>
      <c r="O1278">
        <v>0</v>
      </c>
      <c r="P1278" s="1">
        <v>46022</v>
      </c>
      <c r="R1278" s="7"/>
      <c r="S1278" s="7"/>
    </row>
    <row r="1279" spans="1:19" x14ac:dyDescent="0.3">
      <c r="A1279" t="s">
        <v>1327</v>
      </c>
      <c r="B1279" t="s">
        <v>24</v>
      </c>
      <c r="C1279" t="s">
        <v>28</v>
      </c>
      <c r="D1279" s="5">
        <v>6411</v>
      </c>
      <c r="E1279">
        <v>2202.25</v>
      </c>
      <c r="F1279" t="s">
        <v>14</v>
      </c>
      <c r="G1279">
        <v>354</v>
      </c>
      <c r="H1279" s="1">
        <f t="shared" si="19"/>
        <v>55700</v>
      </c>
      <c r="I1279" t="s">
        <v>15</v>
      </c>
      <c r="J1279" s="1">
        <v>44915</v>
      </c>
      <c r="K1279" t="s">
        <v>16</v>
      </c>
      <c r="L1279" s="3">
        <v>9.9399999999999988E-2</v>
      </c>
      <c r="M1279" t="s">
        <v>29</v>
      </c>
      <c r="N1279" t="s">
        <v>30</v>
      </c>
      <c r="O1279">
        <v>0</v>
      </c>
      <c r="P1279" s="1">
        <v>46022</v>
      </c>
      <c r="R1279" s="7"/>
      <c r="S1279" s="7"/>
    </row>
    <row r="1280" spans="1:19" x14ac:dyDescent="0.3">
      <c r="A1280" t="s">
        <v>1328</v>
      </c>
      <c r="B1280" t="s">
        <v>37</v>
      </c>
      <c r="C1280" t="s">
        <v>92</v>
      </c>
      <c r="D1280" s="5">
        <v>151701849</v>
      </c>
      <c r="E1280">
        <v>49138141.729999997</v>
      </c>
      <c r="F1280" t="s">
        <v>14</v>
      </c>
      <c r="G1280">
        <v>156</v>
      </c>
      <c r="H1280" s="1">
        <f t="shared" si="19"/>
        <v>47968</v>
      </c>
      <c r="I1280" t="s">
        <v>15</v>
      </c>
      <c r="J1280" s="1">
        <v>43201</v>
      </c>
      <c r="K1280" t="s">
        <v>16</v>
      </c>
      <c r="L1280" s="3">
        <v>0.1017</v>
      </c>
      <c r="M1280" t="s">
        <v>17</v>
      </c>
      <c r="N1280" t="s">
        <v>18</v>
      </c>
      <c r="O1280">
        <v>249713956.80000001</v>
      </c>
      <c r="P1280" s="1">
        <v>46022</v>
      </c>
      <c r="R1280" s="7"/>
      <c r="S1280" s="7"/>
    </row>
    <row r="1281" spans="1:19" x14ac:dyDescent="0.3">
      <c r="A1281" t="s">
        <v>1329</v>
      </c>
      <c r="B1281" t="s">
        <v>20</v>
      </c>
      <c r="C1281" t="s">
        <v>89</v>
      </c>
      <c r="D1281" s="5">
        <v>1583544</v>
      </c>
      <c r="E1281">
        <v>1500966.01</v>
      </c>
      <c r="F1281" t="s">
        <v>14</v>
      </c>
      <c r="G1281">
        <v>306</v>
      </c>
      <c r="H1281" s="1">
        <f t="shared" si="19"/>
        <v>51986</v>
      </c>
      <c r="I1281" t="s">
        <v>15</v>
      </c>
      <c r="J1281" s="1">
        <v>42650</v>
      </c>
      <c r="K1281" t="s">
        <v>22</v>
      </c>
      <c r="L1281" s="3">
        <v>4.4600000000000001E-2</v>
      </c>
      <c r="M1281" t="s">
        <v>17</v>
      </c>
      <c r="N1281" t="s">
        <v>54</v>
      </c>
      <c r="O1281">
        <v>2879642.08</v>
      </c>
      <c r="P1281" s="1">
        <v>46022</v>
      </c>
      <c r="R1281" s="7"/>
      <c r="S1281" s="7"/>
    </row>
    <row r="1282" spans="1:19" x14ac:dyDescent="0.3">
      <c r="A1282" t="s">
        <v>1330</v>
      </c>
      <c r="B1282" t="s">
        <v>24</v>
      </c>
      <c r="C1282" t="s">
        <v>32</v>
      </c>
      <c r="D1282" s="5">
        <v>13248</v>
      </c>
      <c r="E1282">
        <v>4881.12</v>
      </c>
      <c r="F1282" t="s">
        <v>33</v>
      </c>
      <c r="G1282">
        <v>66</v>
      </c>
      <c r="H1282" s="1">
        <f t="shared" ref="H1282:H1345" si="20">EOMONTH(J1282,G1282)</f>
        <v>46356</v>
      </c>
      <c r="I1282" t="s">
        <v>15</v>
      </c>
      <c r="J1282" s="1">
        <v>44326</v>
      </c>
      <c r="K1282" t="s">
        <v>39</v>
      </c>
      <c r="L1282" s="3">
        <v>5.8099999999999999E-2</v>
      </c>
      <c r="M1282" t="s">
        <v>29</v>
      </c>
      <c r="N1282" t="s">
        <v>30</v>
      </c>
      <c r="O1282">
        <v>0</v>
      </c>
      <c r="P1282" s="1">
        <v>46022</v>
      </c>
      <c r="R1282" s="7"/>
      <c r="S1282" s="7"/>
    </row>
    <row r="1283" spans="1:19" x14ac:dyDescent="0.3">
      <c r="A1283" t="s">
        <v>1331</v>
      </c>
      <c r="B1283" t="s">
        <v>24</v>
      </c>
      <c r="C1283" t="s">
        <v>32</v>
      </c>
      <c r="D1283" s="5">
        <v>26235</v>
      </c>
      <c r="E1283">
        <v>20934.57</v>
      </c>
      <c r="F1283" t="s">
        <v>33</v>
      </c>
      <c r="G1283">
        <v>168</v>
      </c>
      <c r="H1283" s="1">
        <f t="shared" si="20"/>
        <v>49765</v>
      </c>
      <c r="I1283" t="s">
        <v>15</v>
      </c>
      <c r="J1283" s="1">
        <v>44635</v>
      </c>
      <c r="K1283" t="s">
        <v>39</v>
      </c>
      <c r="L1283" s="3">
        <v>7.8E-2</v>
      </c>
      <c r="M1283" t="s">
        <v>29</v>
      </c>
      <c r="N1283" t="s">
        <v>30</v>
      </c>
      <c r="O1283">
        <v>0</v>
      </c>
      <c r="P1283" s="1">
        <v>46022</v>
      </c>
      <c r="R1283" s="7"/>
      <c r="S1283" s="7"/>
    </row>
    <row r="1284" spans="1:19" x14ac:dyDescent="0.3">
      <c r="A1284" t="s">
        <v>1332</v>
      </c>
      <c r="B1284" t="s">
        <v>24</v>
      </c>
      <c r="C1284" t="s">
        <v>41</v>
      </c>
      <c r="D1284" s="5">
        <v>58200</v>
      </c>
      <c r="E1284">
        <v>26411.65</v>
      </c>
      <c r="F1284" t="s">
        <v>14</v>
      </c>
      <c r="G1284">
        <v>336</v>
      </c>
      <c r="H1284" s="1">
        <f t="shared" si="20"/>
        <v>54878</v>
      </c>
      <c r="I1284" t="s">
        <v>15</v>
      </c>
      <c r="J1284" s="1">
        <v>44635</v>
      </c>
      <c r="K1284" t="s">
        <v>39</v>
      </c>
      <c r="L1284" s="3">
        <v>7.0599999999999996E-2</v>
      </c>
      <c r="M1284" t="s">
        <v>17</v>
      </c>
      <c r="N1284" t="s">
        <v>42</v>
      </c>
      <c r="O1284">
        <v>63861.57</v>
      </c>
      <c r="P1284" s="1">
        <v>46022</v>
      </c>
      <c r="R1284" s="7"/>
      <c r="S1284" s="7"/>
    </row>
    <row r="1285" spans="1:19" x14ac:dyDescent="0.3">
      <c r="A1285" t="s">
        <v>1333</v>
      </c>
      <c r="B1285" t="s">
        <v>12</v>
      </c>
      <c r="C1285" t="s">
        <v>61</v>
      </c>
      <c r="D1285" s="5">
        <v>18487413</v>
      </c>
      <c r="E1285">
        <v>4165744.02</v>
      </c>
      <c r="F1285" t="s">
        <v>14</v>
      </c>
      <c r="G1285">
        <v>120</v>
      </c>
      <c r="H1285" s="1">
        <f t="shared" si="20"/>
        <v>45930</v>
      </c>
      <c r="I1285" t="s">
        <v>15</v>
      </c>
      <c r="J1285" s="1">
        <v>42251</v>
      </c>
      <c r="K1285" t="s">
        <v>22</v>
      </c>
      <c r="L1285" s="3">
        <v>5.0999999999999997E-2</v>
      </c>
      <c r="M1285" t="s">
        <v>29</v>
      </c>
      <c r="N1285" t="s">
        <v>30</v>
      </c>
      <c r="O1285">
        <v>0</v>
      </c>
      <c r="P1285" s="1">
        <v>46022</v>
      </c>
      <c r="R1285" s="7"/>
      <c r="S1285" s="7"/>
    </row>
    <row r="1286" spans="1:19" x14ac:dyDescent="0.3">
      <c r="A1286" t="s">
        <v>1334</v>
      </c>
      <c r="B1286" t="s">
        <v>12</v>
      </c>
      <c r="C1286" t="s">
        <v>63</v>
      </c>
      <c r="D1286" s="5">
        <v>18335669</v>
      </c>
      <c r="E1286">
        <v>2010391.81</v>
      </c>
      <c r="F1286" t="s">
        <v>14</v>
      </c>
      <c r="G1286">
        <v>354</v>
      </c>
      <c r="H1286" s="1">
        <f t="shared" si="20"/>
        <v>54635</v>
      </c>
      <c r="I1286" t="s">
        <v>15</v>
      </c>
      <c r="J1286" s="1">
        <v>43844</v>
      </c>
      <c r="K1286" t="s">
        <v>39</v>
      </c>
      <c r="L1286" s="3">
        <v>4.9200000000000001E-2</v>
      </c>
      <c r="M1286" t="s">
        <v>17</v>
      </c>
      <c r="N1286" t="s">
        <v>18</v>
      </c>
      <c r="O1286">
        <v>24938699.91</v>
      </c>
      <c r="P1286" s="1">
        <v>46022</v>
      </c>
      <c r="R1286" s="7"/>
      <c r="S1286" s="7"/>
    </row>
    <row r="1287" spans="1:19" x14ac:dyDescent="0.3">
      <c r="A1287" t="s">
        <v>1335</v>
      </c>
      <c r="B1287" t="s">
        <v>24</v>
      </c>
      <c r="C1287" t="s">
        <v>41</v>
      </c>
      <c r="D1287" s="5">
        <v>84570</v>
      </c>
      <c r="E1287">
        <v>49882.06</v>
      </c>
      <c r="F1287" t="s">
        <v>14</v>
      </c>
      <c r="G1287">
        <v>60</v>
      </c>
      <c r="H1287" s="1">
        <f t="shared" si="20"/>
        <v>45291</v>
      </c>
      <c r="I1287" t="s">
        <v>15</v>
      </c>
      <c r="J1287" s="1">
        <v>43447</v>
      </c>
      <c r="K1287" t="s">
        <v>22</v>
      </c>
      <c r="L1287" s="3">
        <v>5.21E-2</v>
      </c>
      <c r="M1287" t="s">
        <v>17</v>
      </c>
      <c r="N1287" t="s">
        <v>42</v>
      </c>
      <c r="O1287">
        <v>104870.39999999999</v>
      </c>
      <c r="P1287" s="1">
        <v>46022</v>
      </c>
      <c r="R1287" s="7"/>
      <c r="S1287" s="7"/>
    </row>
    <row r="1288" spans="1:19" x14ac:dyDescent="0.3">
      <c r="A1288" t="s">
        <v>1336</v>
      </c>
      <c r="B1288" t="s">
        <v>24</v>
      </c>
      <c r="C1288" t="s">
        <v>28</v>
      </c>
      <c r="D1288" s="5">
        <v>39675</v>
      </c>
      <c r="E1288">
        <v>38810.46</v>
      </c>
      <c r="F1288" t="s">
        <v>14</v>
      </c>
      <c r="G1288">
        <v>174</v>
      </c>
      <c r="H1288" s="1">
        <f t="shared" si="20"/>
        <v>49217</v>
      </c>
      <c r="I1288" t="s">
        <v>15</v>
      </c>
      <c r="J1288" s="1">
        <v>43896</v>
      </c>
      <c r="K1288" t="s">
        <v>16</v>
      </c>
      <c r="L1288" s="3">
        <v>8.1900000000000001E-2</v>
      </c>
      <c r="M1288" t="s">
        <v>29</v>
      </c>
      <c r="N1288" t="s">
        <v>30</v>
      </c>
      <c r="O1288">
        <v>0</v>
      </c>
      <c r="P1288" s="1">
        <v>46022</v>
      </c>
      <c r="R1288" s="7"/>
      <c r="S1288" s="7"/>
    </row>
    <row r="1289" spans="1:19" x14ac:dyDescent="0.3">
      <c r="A1289" t="s">
        <v>1337</v>
      </c>
      <c r="B1289" t="s">
        <v>24</v>
      </c>
      <c r="C1289" t="s">
        <v>25</v>
      </c>
      <c r="D1289" s="5">
        <v>377016</v>
      </c>
      <c r="E1289">
        <v>162954.93</v>
      </c>
      <c r="F1289" t="s">
        <v>14</v>
      </c>
      <c r="G1289">
        <v>66</v>
      </c>
      <c r="H1289" s="1">
        <f t="shared" si="20"/>
        <v>47634</v>
      </c>
      <c r="I1289" t="s">
        <v>15</v>
      </c>
      <c r="J1289" s="1">
        <v>45625</v>
      </c>
      <c r="K1289" t="s">
        <v>22</v>
      </c>
      <c r="L1289" s="3">
        <v>6.7400000000000002E-2</v>
      </c>
      <c r="M1289" t="s">
        <v>17</v>
      </c>
      <c r="N1289" t="s">
        <v>26</v>
      </c>
      <c r="O1289">
        <v>523626.49</v>
      </c>
      <c r="P1289" s="1">
        <v>46022</v>
      </c>
      <c r="R1289" s="7"/>
      <c r="S1289" s="7"/>
    </row>
    <row r="1290" spans="1:19" x14ac:dyDescent="0.3">
      <c r="A1290" t="s">
        <v>1338</v>
      </c>
      <c r="B1290" t="s">
        <v>37</v>
      </c>
      <c r="C1290" t="s">
        <v>78</v>
      </c>
      <c r="D1290" s="5">
        <v>457756338</v>
      </c>
      <c r="E1290">
        <v>192931982.90000001</v>
      </c>
      <c r="F1290" t="s">
        <v>33</v>
      </c>
      <c r="G1290">
        <v>222</v>
      </c>
      <c r="H1290" s="1">
        <f t="shared" si="20"/>
        <v>48944</v>
      </c>
      <c r="I1290" t="s">
        <v>15</v>
      </c>
      <c r="J1290" s="1">
        <v>42167</v>
      </c>
      <c r="K1290" t="s">
        <v>22</v>
      </c>
      <c r="L1290" s="3">
        <v>4.8300000000000003E-2</v>
      </c>
      <c r="M1290" t="s">
        <v>17</v>
      </c>
      <c r="N1290" t="s">
        <v>18</v>
      </c>
      <c r="O1290">
        <v>574348984.10000002</v>
      </c>
      <c r="P1290" s="1">
        <v>46022</v>
      </c>
      <c r="R1290" s="7"/>
      <c r="S1290" s="7"/>
    </row>
    <row r="1291" spans="1:19" x14ac:dyDescent="0.3">
      <c r="A1291" t="s">
        <v>1339</v>
      </c>
      <c r="B1291" t="s">
        <v>24</v>
      </c>
      <c r="C1291" t="s">
        <v>28</v>
      </c>
      <c r="D1291" s="5">
        <v>47688</v>
      </c>
      <c r="E1291">
        <v>19536.91</v>
      </c>
      <c r="F1291" t="s">
        <v>48</v>
      </c>
      <c r="G1291">
        <v>108</v>
      </c>
      <c r="H1291" s="1">
        <f t="shared" si="20"/>
        <v>46326</v>
      </c>
      <c r="I1291" t="s">
        <v>15</v>
      </c>
      <c r="J1291" s="1">
        <v>43025</v>
      </c>
      <c r="K1291" t="s">
        <v>39</v>
      </c>
      <c r="L1291" s="3">
        <v>7.1099999999999997E-2</v>
      </c>
      <c r="M1291" t="s">
        <v>29</v>
      </c>
      <c r="N1291" t="s">
        <v>30</v>
      </c>
      <c r="O1291">
        <v>0</v>
      </c>
      <c r="P1291" s="1">
        <v>46022</v>
      </c>
      <c r="R1291" s="7"/>
      <c r="S1291" s="7"/>
    </row>
    <row r="1292" spans="1:19" x14ac:dyDescent="0.3">
      <c r="A1292" t="s">
        <v>1340</v>
      </c>
      <c r="B1292" t="s">
        <v>24</v>
      </c>
      <c r="C1292" t="s">
        <v>32</v>
      </c>
      <c r="D1292" s="5">
        <v>17010</v>
      </c>
      <c r="E1292">
        <v>9670.2199999999993</v>
      </c>
      <c r="F1292" t="s">
        <v>33</v>
      </c>
      <c r="G1292">
        <v>330</v>
      </c>
      <c r="H1292" s="1">
        <f t="shared" si="20"/>
        <v>54148</v>
      </c>
      <c r="I1292" t="s">
        <v>15</v>
      </c>
      <c r="J1292" s="1">
        <v>44091</v>
      </c>
      <c r="K1292" t="s">
        <v>39</v>
      </c>
      <c r="L1292" s="3">
        <v>5.6600000000000004E-2</v>
      </c>
      <c r="M1292" t="s">
        <v>29</v>
      </c>
      <c r="N1292" t="s">
        <v>30</v>
      </c>
      <c r="O1292">
        <v>0</v>
      </c>
      <c r="P1292" s="1">
        <v>46022</v>
      </c>
      <c r="R1292" s="7"/>
      <c r="S1292" s="7"/>
    </row>
    <row r="1293" spans="1:19" x14ac:dyDescent="0.3">
      <c r="A1293" t="s">
        <v>1341</v>
      </c>
      <c r="B1293" t="s">
        <v>24</v>
      </c>
      <c r="C1293" t="s">
        <v>28</v>
      </c>
      <c r="D1293" s="5">
        <v>18367</v>
      </c>
      <c r="E1293">
        <v>9120.93</v>
      </c>
      <c r="F1293" t="s">
        <v>48</v>
      </c>
      <c r="G1293">
        <v>300</v>
      </c>
      <c r="H1293" s="1">
        <f t="shared" si="20"/>
        <v>54482</v>
      </c>
      <c r="I1293" t="s">
        <v>15</v>
      </c>
      <c r="J1293" s="1">
        <v>45331</v>
      </c>
      <c r="K1293" t="s">
        <v>22</v>
      </c>
      <c r="L1293" s="3">
        <v>7.4900000000000008E-2</v>
      </c>
      <c r="M1293" t="s">
        <v>29</v>
      </c>
      <c r="N1293" t="s">
        <v>30</v>
      </c>
      <c r="O1293">
        <v>0</v>
      </c>
      <c r="P1293" s="1">
        <v>46022</v>
      </c>
      <c r="R1293" s="7"/>
      <c r="S1293" s="7"/>
    </row>
    <row r="1294" spans="1:19" x14ac:dyDescent="0.3">
      <c r="A1294" t="s">
        <v>1342</v>
      </c>
      <c r="B1294" t="s">
        <v>24</v>
      </c>
      <c r="C1294" t="s">
        <v>25</v>
      </c>
      <c r="D1294" s="5">
        <v>555071</v>
      </c>
      <c r="E1294">
        <v>495080.45</v>
      </c>
      <c r="F1294" t="s">
        <v>14</v>
      </c>
      <c r="G1294">
        <v>84</v>
      </c>
      <c r="H1294" s="1">
        <f t="shared" si="20"/>
        <v>45199</v>
      </c>
      <c r="I1294" t="s">
        <v>15</v>
      </c>
      <c r="J1294" s="1">
        <v>42636</v>
      </c>
      <c r="K1294" t="s">
        <v>35</v>
      </c>
      <c r="L1294" s="3">
        <v>3.0899999999999997E-2</v>
      </c>
      <c r="M1294" t="s">
        <v>17</v>
      </c>
      <c r="N1294" t="s">
        <v>26</v>
      </c>
      <c r="O1294">
        <v>730121.32</v>
      </c>
      <c r="P1294" s="1">
        <v>46022</v>
      </c>
      <c r="R1294" s="7"/>
      <c r="S1294" s="7"/>
    </row>
    <row r="1295" spans="1:19" x14ac:dyDescent="0.3">
      <c r="A1295" t="s">
        <v>1343</v>
      </c>
      <c r="B1295" t="s">
        <v>20</v>
      </c>
      <c r="C1295" t="s">
        <v>47</v>
      </c>
      <c r="D1295" s="5">
        <v>4708548</v>
      </c>
      <c r="E1295">
        <v>2613096.83</v>
      </c>
      <c r="F1295" t="s">
        <v>48</v>
      </c>
      <c r="G1295">
        <v>324</v>
      </c>
      <c r="H1295" s="1">
        <f t="shared" si="20"/>
        <v>55457</v>
      </c>
      <c r="I1295" t="s">
        <v>15</v>
      </c>
      <c r="J1295" s="1">
        <v>45567</v>
      </c>
      <c r="K1295" t="s">
        <v>22</v>
      </c>
      <c r="L1295" s="3">
        <v>7.2099999999999997E-2</v>
      </c>
      <c r="M1295" t="s">
        <v>17</v>
      </c>
      <c r="N1295" t="s">
        <v>18</v>
      </c>
      <c r="O1295">
        <v>5542754.2199999997</v>
      </c>
      <c r="P1295" s="1">
        <v>46022</v>
      </c>
      <c r="R1295" s="7"/>
      <c r="S1295" s="7"/>
    </row>
    <row r="1296" spans="1:19" x14ac:dyDescent="0.3">
      <c r="A1296" t="s">
        <v>1344</v>
      </c>
      <c r="B1296" t="s">
        <v>24</v>
      </c>
      <c r="C1296" t="s">
        <v>25</v>
      </c>
      <c r="D1296" s="5">
        <v>888687</v>
      </c>
      <c r="E1296" s="4">
        <v>494982.98</v>
      </c>
      <c r="F1296" t="s">
        <v>14</v>
      </c>
      <c r="G1296">
        <v>60</v>
      </c>
      <c r="H1296" s="1">
        <f t="shared" si="20"/>
        <v>45138</v>
      </c>
      <c r="I1296" t="s">
        <v>15</v>
      </c>
      <c r="J1296" s="1">
        <v>43301</v>
      </c>
      <c r="K1296" t="s">
        <v>101</v>
      </c>
      <c r="L1296" s="3">
        <v>0.1482</v>
      </c>
      <c r="M1296" t="s">
        <v>17</v>
      </c>
      <c r="N1296" t="s">
        <v>26</v>
      </c>
      <c r="O1296">
        <v>1161741.5900000001</v>
      </c>
      <c r="P1296" s="1">
        <v>46022</v>
      </c>
      <c r="R1296" s="7"/>
      <c r="S1296" s="7"/>
    </row>
    <row r="1297" spans="1:19" x14ac:dyDescent="0.3">
      <c r="A1297" t="s">
        <v>1345</v>
      </c>
      <c r="B1297" t="s">
        <v>24</v>
      </c>
      <c r="C1297" t="s">
        <v>28</v>
      </c>
      <c r="D1297" s="5">
        <v>6026</v>
      </c>
      <c r="E1297">
        <v>1353.01</v>
      </c>
      <c r="F1297" t="s">
        <v>33</v>
      </c>
      <c r="G1297">
        <v>210</v>
      </c>
      <c r="H1297" s="1">
        <f t="shared" si="20"/>
        <v>47848</v>
      </c>
      <c r="I1297" t="s">
        <v>15</v>
      </c>
      <c r="J1297" s="1">
        <v>41438</v>
      </c>
      <c r="K1297" t="s">
        <v>39</v>
      </c>
      <c r="L1297" s="3">
        <v>6.7099999999999993E-2</v>
      </c>
      <c r="M1297" t="s">
        <v>29</v>
      </c>
      <c r="N1297" t="s">
        <v>30</v>
      </c>
      <c r="O1297">
        <v>0</v>
      </c>
      <c r="P1297" s="1">
        <v>46022</v>
      </c>
      <c r="R1297" s="7"/>
      <c r="S1297" s="7"/>
    </row>
    <row r="1298" spans="1:19" x14ac:dyDescent="0.3">
      <c r="A1298" t="s">
        <v>1346</v>
      </c>
      <c r="B1298" t="s">
        <v>12</v>
      </c>
      <c r="C1298" t="s">
        <v>61</v>
      </c>
      <c r="D1298" s="5">
        <v>20243806</v>
      </c>
      <c r="E1298">
        <v>19929330.77</v>
      </c>
      <c r="F1298" t="s">
        <v>48</v>
      </c>
      <c r="G1298">
        <v>60</v>
      </c>
      <c r="H1298" s="1">
        <f t="shared" si="20"/>
        <v>45443</v>
      </c>
      <c r="I1298" t="s">
        <v>15</v>
      </c>
      <c r="J1298" s="1">
        <v>43610</v>
      </c>
      <c r="K1298" t="s">
        <v>39</v>
      </c>
      <c r="L1298" s="3">
        <v>6.9500000000000006E-2</v>
      </c>
      <c r="M1298" t="s">
        <v>17</v>
      </c>
      <c r="N1298" t="s">
        <v>18</v>
      </c>
      <c r="O1298">
        <v>31507895.190000001</v>
      </c>
      <c r="P1298" s="1">
        <v>46022</v>
      </c>
      <c r="R1298" s="7"/>
      <c r="S1298" s="7"/>
    </row>
    <row r="1299" spans="1:19" x14ac:dyDescent="0.3">
      <c r="A1299" t="s">
        <v>1347</v>
      </c>
      <c r="B1299" t="s">
        <v>24</v>
      </c>
      <c r="C1299" t="s">
        <v>25</v>
      </c>
      <c r="D1299" s="5">
        <v>598034</v>
      </c>
      <c r="E1299">
        <v>194346.48</v>
      </c>
      <c r="F1299" t="s">
        <v>14</v>
      </c>
      <c r="G1299">
        <v>210</v>
      </c>
      <c r="H1299" s="1">
        <f t="shared" si="20"/>
        <v>51043</v>
      </c>
      <c r="I1299" t="s">
        <v>15</v>
      </c>
      <c r="J1299" s="1">
        <v>44644</v>
      </c>
      <c r="K1299" t="s">
        <v>56</v>
      </c>
      <c r="L1299" s="3">
        <v>3.7699999999999997E-2</v>
      </c>
      <c r="M1299" t="s">
        <v>17</v>
      </c>
      <c r="N1299" t="s">
        <v>26</v>
      </c>
      <c r="O1299">
        <v>705063.44</v>
      </c>
      <c r="P1299" s="1">
        <v>46022</v>
      </c>
      <c r="R1299" s="7"/>
      <c r="S1299" s="7"/>
    </row>
    <row r="1300" spans="1:19" x14ac:dyDescent="0.3">
      <c r="A1300" t="s">
        <v>1348</v>
      </c>
      <c r="B1300" t="s">
        <v>24</v>
      </c>
      <c r="C1300" t="s">
        <v>32</v>
      </c>
      <c r="D1300" s="5">
        <v>25653</v>
      </c>
      <c r="E1300">
        <v>4259.1899999999996</v>
      </c>
      <c r="F1300" t="s">
        <v>33</v>
      </c>
      <c r="G1300">
        <v>66</v>
      </c>
      <c r="H1300" s="1">
        <f t="shared" si="20"/>
        <v>46752</v>
      </c>
      <c r="I1300" t="s">
        <v>15</v>
      </c>
      <c r="J1300" s="1">
        <v>44727</v>
      </c>
      <c r="K1300" t="s">
        <v>22</v>
      </c>
      <c r="L1300" s="3">
        <v>5.4900000000000004E-2</v>
      </c>
      <c r="M1300" t="s">
        <v>29</v>
      </c>
      <c r="N1300" t="s">
        <v>30</v>
      </c>
      <c r="O1300">
        <v>0</v>
      </c>
      <c r="P1300" s="1">
        <v>46022</v>
      </c>
      <c r="R1300" s="7"/>
      <c r="S1300" s="7"/>
    </row>
    <row r="1301" spans="1:19" x14ac:dyDescent="0.3">
      <c r="A1301" t="s">
        <v>1349</v>
      </c>
      <c r="B1301" t="s">
        <v>24</v>
      </c>
      <c r="C1301" t="s">
        <v>25</v>
      </c>
      <c r="D1301" s="5">
        <v>274477</v>
      </c>
      <c r="E1301">
        <v>191264.09</v>
      </c>
      <c r="F1301" t="s">
        <v>14</v>
      </c>
      <c r="G1301">
        <v>264</v>
      </c>
      <c r="H1301" s="1">
        <f t="shared" si="20"/>
        <v>51621</v>
      </c>
      <c r="I1301" t="s">
        <v>15</v>
      </c>
      <c r="J1301" s="1">
        <v>43574</v>
      </c>
      <c r="K1301" t="s">
        <v>39</v>
      </c>
      <c r="L1301" s="3">
        <v>6.6000000000000003E-2</v>
      </c>
      <c r="M1301" t="s">
        <v>17</v>
      </c>
      <c r="N1301" t="s">
        <v>26</v>
      </c>
      <c r="O1301">
        <v>335737.67</v>
      </c>
      <c r="P1301" s="1">
        <v>46022</v>
      </c>
      <c r="R1301" s="7"/>
      <c r="S1301" s="7"/>
    </row>
    <row r="1302" spans="1:19" x14ac:dyDescent="0.3">
      <c r="A1302" t="s">
        <v>1350</v>
      </c>
      <c r="B1302" t="s">
        <v>20</v>
      </c>
      <c r="C1302" t="s">
        <v>89</v>
      </c>
      <c r="D1302" s="5">
        <v>4301143</v>
      </c>
      <c r="E1302">
        <v>2734794.62</v>
      </c>
      <c r="F1302" t="s">
        <v>33</v>
      </c>
      <c r="G1302">
        <v>72</v>
      </c>
      <c r="H1302" s="1">
        <f t="shared" si="20"/>
        <v>45351</v>
      </c>
      <c r="I1302" t="s">
        <v>15</v>
      </c>
      <c r="J1302" s="1">
        <v>43139</v>
      </c>
      <c r="K1302" t="s">
        <v>39</v>
      </c>
      <c r="L1302" s="3">
        <v>6.4500000000000002E-2</v>
      </c>
      <c r="M1302" t="s">
        <v>17</v>
      </c>
      <c r="N1302" t="s">
        <v>26</v>
      </c>
      <c r="O1302">
        <v>6047759.1200000001</v>
      </c>
      <c r="P1302" s="1">
        <v>46022</v>
      </c>
      <c r="R1302" s="7"/>
      <c r="S1302" s="7"/>
    </row>
    <row r="1303" spans="1:19" x14ac:dyDescent="0.3">
      <c r="A1303" t="s">
        <v>1351</v>
      </c>
      <c r="B1303" t="s">
        <v>20</v>
      </c>
      <c r="C1303" t="s">
        <v>51</v>
      </c>
      <c r="D1303" s="5">
        <v>3400857</v>
      </c>
      <c r="E1303">
        <v>1610751.55</v>
      </c>
      <c r="F1303" t="s">
        <v>33</v>
      </c>
      <c r="G1303">
        <v>48</v>
      </c>
      <c r="H1303" s="1">
        <f t="shared" si="20"/>
        <v>45838</v>
      </c>
      <c r="I1303" t="s">
        <v>15</v>
      </c>
      <c r="J1303" s="1">
        <v>44370</v>
      </c>
      <c r="K1303" t="s">
        <v>56</v>
      </c>
      <c r="L1303" s="3">
        <v>2.87E-2</v>
      </c>
      <c r="M1303" t="s">
        <v>17</v>
      </c>
      <c r="N1303" t="s">
        <v>42</v>
      </c>
      <c r="O1303">
        <v>6479669.2999999998</v>
      </c>
      <c r="P1303" s="1">
        <v>46022</v>
      </c>
      <c r="R1303" s="7"/>
      <c r="S1303" s="7"/>
    </row>
    <row r="1304" spans="1:19" x14ac:dyDescent="0.3">
      <c r="A1304" t="s">
        <v>1352</v>
      </c>
      <c r="B1304" t="s">
        <v>12</v>
      </c>
      <c r="C1304" t="s">
        <v>61</v>
      </c>
      <c r="D1304" s="5">
        <v>42057510</v>
      </c>
      <c r="E1304">
        <v>20186469.870000001</v>
      </c>
      <c r="F1304" t="s">
        <v>33</v>
      </c>
      <c r="G1304">
        <v>318</v>
      </c>
      <c r="H1304" s="1">
        <f t="shared" si="20"/>
        <v>52993</v>
      </c>
      <c r="I1304" t="s">
        <v>15</v>
      </c>
      <c r="J1304" s="1">
        <v>43292</v>
      </c>
      <c r="K1304" t="s">
        <v>16</v>
      </c>
      <c r="L1304" s="3">
        <v>9.4600000000000004E-2</v>
      </c>
      <c r="M1304" t="s">
        <v>17</v>
      </c>
      <c r="N1304" t="s">
        <v>18</v>
      </c>
      <c r="O1304">
        <v>65616811.060000002</v>
      </c>
      <c r="P1304" s="1">
        <v>46022</v>
      </c>
      <c r="R1304" s="7"/>
      <c r="S1304" s="7"/>
    </row>
    <row r="1305" spans="1:19" x14ac:dyDescent="0.3">
      <c r="A1305" t="s">
        <v>1353</v>
      </c>
      <c r="B1305" t="s">
        <v>24</v>
      </c>
      <c r="C1305" t="s">
        <v>25</v>
      </c>
      <c r="D1305" s="5">
        <v>872888</v>
      </c>
      <c r="E1305">
        <v>704034.27</v>
      </c>
      <c r="F1305" t="s">
        <v>14</v>
      </c>
      <c r="G1305">
        <v>234</v>
      </c>
      <c r="H1305" s="1">
        <f t="shared" si="20"/>
        <v>51897</v>
      </c>
      <c r="I1305" t="s">
        <v>15</v>
      </c>
      <c r="J1305" s="1">
        <v>44749</v>
      </c>
      <c r="K1305" t="s">
        <v>22</v>
      </c>
      <c r="L1305" s="3">
        <v>5.4699999999999999E-2</v>
      </c>
      <c r="M1305" t="s">
        <v>17</v>
      </c>
      <c r="N1305" t="s">
        <v>26</v>
      </c>
      <c r="O1305">
        <v>1161504.8600000001</v>
      </c>
      <c r="P1305" s="1">
        <v>46022</v>
      </c>
      <c r="R1305" s="7"/>
      <c r="S1305" s="7"/>
    </row>
    <row r="1306" spans="1:19" x14ac:dyDescent="0.3">
      <c r="A1306" t="s">
        <v>1354</v>
      </c>
      <c r="B1306" t="s">
        <v>20</v>
      </c>
      <c r="C1306" t="s">
        <v>47</v>
      </c>
      <c r="D1306" s="5">
        <v>3754361</v>
      </c>
      <c r="E1306">
        <v>1036734.55</v>
      </c>
      <c r="F1306" t="s">
        <v>48</v>
      </c>
      <c r="G1306">
        <v>84</v>
      </c>
      <c r="H1306" s="1">
        <f t="shared" si="20"/>
        <v>47391</v>
      </c>
      <c r="I1306" t="s">
        <v>15</v>
      </c>
      <c r="J1306" s="1">
        <v>44814</v>
      </c>
      <c r="K1306" t="s">
        <v>35</v>
      </c>
      <c r="L1306" s="3">
        <v>3.9599999999999996E-2</v>
      </c>
      <c r="M1306" t="s">
        <v>17</v>
      </c>
      <c r="N1306" t="s">
        <v>26</v>
      </c>
      <c r="O1306">
        <v>4522607.83</v>
      </c>
      <c r="P1306" s="1">
        <v>46022</v>
      </c>
      <c r="R1306" s="7"/>
      <c r="S1306" s="7"/>
    </row>
    <row r="1307" spans="1:19" x14ac:dyDescent="0.3">
      <c r="A1307" t="s">
        <v>1355</v>
      </c>
      <c r="B1307" t="s">
        <v>24</v>
      </c>
      <c r="C1307" t="s">
        <v>32</v>
      </c>
      <c r="D1307" s="5">
        <v>22521</v>
      </c>
      <c r="E1307">
        <v>18878</v>
      </c>
      <c r="F1307" t="s">
        <v>33</v>
      </c>
      <c r="G1307">
        <v>336</v>
      </c>
      <c r="H1307" s="1">
        <f t="shared" si="20"/>
        <v>54239</v>
      </c>
      <c r="I1307" t="s">
        <v>15</v>
      </c>
      <c r="J1307" s="1">
        <v>44001</v>
      </c>
      <c r="K1307" t="s">
        <v>22</v>
      </c>
      <c r="L1307" s="3">
        <v>3.2799999999999996E-2</v>
      </c>
      <c r="M1307" t="s">
        <v>29</v>
      </c>
      <c r="N1307" t="s">
        <v>30</v>
      </c>
      <c r="O1307">
        <v>0</v>
      </c>
      <c r="P1307" s="1">
        <v>46022</v>
      </c>
      <c r="R1307" s="7"/>
      <c r="S1307" s="7"/>
    </row>
    <row r="1308" spans="1:19" x14ac:dyDescent="0.3">
      <c r="A1308" t="s">
        <v>1356</v>
      </c>
      <c r="B1308" t="s">
        <v>24</v>
      </c>
      <c r="C1308" t="s">
        <v>25</v>
      </c>
      <c r="D1308" s="5">
        <v>649492</v>
      </c>
      <c r="E1308">
        <v>444169.71</v>
      </c>
      <c r="F1308" t="s">
        <v>14</v>
      </c>
      <c r="G1308">
        <v>168</v>
      </c>
      <c r="H1308" s="1">
        <f t="shared" si="20"/>
        <v>49552</v>
      </c>
      <c r="I1308" t="s">
        <v>15</v>
      </c>
      <c r="J1308" s="1">
        <v>44433</v>
      </c>
      <c r="K1308" t="s">
        <v>22</v>
      </c>
      <c r="L1308" s="3">
        <v>3.4799999999999998E-2</v>
      </c>
      <c r="M1308" t="s">
        <v>17</v>
      </c>
      <c r="N1308" t="s">
        <v>26</v>
      </c>
      <c r="O1308">
        <v>803392.07</v>
      </c>
      <c r="P1308" s="1">
        <v>46022</v>
      </c>
      <c r="R1308" s="7"/>
      <c r="S1308" s="7"/>
    </row>
    <row r="1309" spans="1:19" x14ac:dyDescent="0.3">
      <c r="A1309" t="s">
        <v>1357</v>
      </c>
      <c r="B1309" t="s">
        <v>24</v>
      </c>
      <c r="C1309" t="s">
        <v>25</v>
      </c>
      <c r="D1309" s="5">
        <v>244329</v>
      </c>
      <c r="E1309">
        <v>116562.66</v>
      </c>
      <c r="F1309" t="s">
        <v>14</v>
      </c>
      <c r="G1309">
        <v>66</v>
      </c>
      <c r="H1309" s="1">
        <f t="shared" si="20"/>
        <v>45473</v>
      </c>
      <c r="I1309" t="s">
        <v>15</v>
      </c>
      <c r="J1309" s="1">
        <v>43445</v>
      </c>
      <c r="K1309" t="s">
        <v>22</v>
      </c>
      <c r="L1309" s="3">
        <v>4.36E-2</v>
      </c>
      <c r="M1309" t="s">
        <v>17</v>
      </c>
      <c r="N1309" t="s">
        <v>26</v>
      </c>
      <c r="O1309">
        <v>304110.59999999998</v>
      </c>
      <c r="P1309" s="1">
        <v>46022</v>
      </c>
      <c r="R1309" s="7"/>
      <c r="S1309" s="7"/>
    </row>
    <row r="1310" spans="1:19" x14ac:dyDescent="0.3">
      <c r="A1310" t="s">
        <v>1358</v>
      </c>
      <c r="B1310" t="s">
        <v>24</v>
      </c>
      <c r="C1310" t="s">
        <v>32</v>
      </c>
      <c r="D1310" s="5">
        <v>34009</v>
      </c>
      <c r="E1310">
        <v>17420.099999999999</v>
      </c>
      <c r="F1310" t="s">
        <v>33</v>
      </c>
      <c r="G1310">
        <v>234</v>
      </c>
      <c r="H1310" s="1">
        <f t="shared" si="20"/>
        <v>52078</v>
      </c>
      <c r="I1310" t="s">
        <v>15</v>
      </c>
      <c r="J1310" s="1">
        <v>44953</v>
      </c>
      <c r="K1310" t="s">
        <v>56</v>
      </c>
      <c r="L1310" s="3">
        <v>5.8299999999999998E-2</v>
      </c>
      <c r="M1310" t="s">
        <v>29</v>
      </c>
      <c r="N1310" t="s">
        <v>30</v>
      </c>
      <c r="O1310">
        <v>0</v>
      </c>
      <c r="P1310" s="1">
        <v>46022</v>
      </c>
      <c r="R1310" s="7"/>
      <c r="S1310" s="7"/>
    </row>
    <row r="1311" spans="1:19" x14ac:dyDescent="0.3">
      <c r="A1311" t="s">
        <v>1359</v>
      </c>
      <c r="B1311" t="s">
        <v>24</v>
      </c>
      <c r="C1311" t="s">
        <v>28</v>
      </c>
      <c r="D1311" s="5">
        <v>9783</v>
      </c>
      <c r="E1311">
        <v>3238.14</v>
      </c>
      <c r="F1311" t="s">
        <v>33</v>
      </c>
      <c r="G1311">
        <v>150</v>
      </c>
      <c r="H1311" s="1">
        <f t="shared" si="20"/>
        <v>45626</v>
      </c>
      <c r="I1311" t="s">
        <v>15</v>
      </c>
      <c r="J1311" s="1">
        <v>41058</v>
      </c>
      <c r="K1311" t="s">
        <v>35</v>
      </c>
      <c r="L1311" s="3">
        <v>2.9500000000000002E-2</v>
      </c>
      <c r="M1311" t="s">
        <v>29</v>
      </c>
      <c r="N1311" t="s">
        <v>30</v>
      </c>
      <c r="O1311">
        <v>0</v>
      </c>
      <c r="P1311" s="1">
        <v>46022</v>
      </c>
      <c r="R1311" s="7"/>
      <c r="S1311" s="7"/>
    </row>
    <row r="1312" spans="1:19" x14ac:dyDescent="0.3">
      <c r="A1312" t="s">
        <v>1360</v>
      </c>
      <c r="B1312" t="s">
        <v>24</v>
      </c>
      <c r="C1312" t="s">
        <v>32</v>
      </c>
      <c r="D1312" s="5">
        <v>35004</v>
      </c>
      <c r="E1312">
        <v>27194.34</v>
      </c>
      <c r="F1312" t="s">
        <v>33</v>
      </c>
      <c r="G1312">
        <v>126</v>
      </c>
      <c r="H1312" s="1">
        <f t="shared" si="20"/>
        <v>44957</v>
      </c>
      <c r="I1312" t="s">
        <v>15</v>
      </c>
      <c r="J1312" s="1">
        <v>41103</v>
      </c>
      <c r="K1312" t="s">
        <v>39</v>
      </c>
      <c r="L1312" s="3">
        <v>6.6500000000000004E-2</v>
      </c>
      <c r="M1312" t="s">
        <v>29</v>
      </c>
      <c r="N1312" t="s">
        <v>30</v>
      </c>
      <c r="O1312">
        <v>0</v>
      </c>
      <c r="P1312" s="1">
        <v>46022</v>
      </c>
      <c r="R1312" s="7"/>
      <c r="S1312" s="7"/>
    </row>
    <row r="1313" spans="1:19" x14ac:dyDescent="0.3">
      <c r="A1313" t="s">
        <v>1361</v>
      </c>
      <c r="B1313" t="s">
        <v>20</v>
      </c>
      <c r="C1313" t="s">
        <v>89</v>
      </c>
      <c r="D1313" s="5">
        <v>1186511</v>
      </c>
      <c r="E1313">
        <v>666329.41</v>
      </c>
      <c r="F1313" t="s">
        <v>48</v>
      </c>
      <c r="G1313">
        <v>60</v>
      </c>
      <c r="H1313" s="1">
        <f t="shared" si="20"/>
        <v>45565</v>
      </c>
      <c r="I1313" t="s">
        <v>15</v>
      </c>
      <c r="J1313" s="1">
        <v>43713</v>
      </c>
      <c r="K1313" t="s">
        <v>35</v>
      </c>
      <c r="L1313" s="3">
        <v>3.6200000000000003E-2</v>
      </c>
      <c r="M1313" t="s">
        <v>17</v>
      </c>
      <c r="N1313" t="s">
        <v>26</v>
      </c>
      <c r="O1313">
        <v>1530123.19</v>
      </c>
      <c r="P1313" s="1">
        <v>46022</v>
      </c>
      <c r="R1313" s="7"/>
      <c r="S1313" s="7"/>
    </row>
    <row r="1314" spans="1:19" x14ac:dyDescent="0.3">
      <c r="A1314" t="s">
        <v>1362</v>
      </c>
      <c r="B1314" t="s">
        <v>37</v>
      </c>
      <c r="C1314" t="s">
        <v>78</v>
      </c>
      <c r="D1314" s="5">
        <v>67600137</v>
      </c>
      <c r="E1314">
        <v>26280843.670000002</v>
      </c>
      <c r="F1314" t="s">
        <v>48</v>
      </c>
      <c r="G1314">
        <v>258</v>
      </c>
      <c r="H1314" s="1">
        <f t="shared" si="20"/>
        <v>51956</v>
      </c>
      <c r="I1314" t="s">
        <v>15</v>
      </c>
      <c r="J1314" s="1">
        <v>44097</v>
      </c>
      <c r="K1314" t="s">
        <v>35</v>
      </c>
      <c r="L1314" s="3">
        <v>2.7300000000000001E-2</v>
      </c>
      <c r="M1314" t="s">
        <v>17</v>
      </c>
      <c r="N1314" t="s">
        <v>18</v>
      </c>
      <c r="O1314">
        <v>80687751.219999999</v>
      </c>
      <c r="P1314" s="1">
        <v>46022</v>
      </c>
      <c r="R1314" s="7"/>
      <c r="S1314" s="7"/>
    </row>
    <row r="1315" spans="1:19" x14ac:dyDescent="0.3">
      <c r="A1315" t="s">
        <v>1363</v>
      </c>
      <c r="B1315" t="s">
        <v>20</v>
      </c>
      <c r="C1315" t="s">
        <v>51</v>
      </c>
      <c r="D1315" s="5">
        <v>868158</v>
      </c>
      <c r="E1315">
        <v>552535.06000000006</v>
      </c>
      <c r="F1315" t="s">
        <v>14</v>
      </c>
      <c r="G1315">
        <v>90</v>
      </c>
      <c r="H1315" s="1">
        <f t="shared" si="20"/>
        <v>46142</v>
      </c>
      <c r="I1315" t="s">
        <v>15</v>
      </c>
      <c r="J1315" s="1">
        <v>43403</v>
      </c>
      <c r="K1315" t="s">
        <v>22</v>
      </c>
      <c r="L1315" s="3">
        <v>5.3099999999999994E-2</v>
      </c>
      <c r="M1315" t="s">
        <v>17</v>
      </c>
      <c r="N1315" t="s">
        <v>42</v>
      </c>
      <c r="O1315">
        <v>1459686.08</v>
      </c>
      <c r="P1315" s="1">
        <v>46022</v>
      </c>
      <c r="R1315" s="7"/>
      <c r="S1315" s="7"/>
    </row>
    <row r="1316" spans="1:19" x14ac:dyDescent="0.3">
      <c r="A1316" t="s">
        <v>1364</v>
      </c>
      <c r="B1316" t="s">
        <v>12</v>
      </c>
      <c r="C1316" t="s">
        <v>61</v>
      </c>
      <c r="D1316" s="5">
        <v>1097615</v>
      </c>
      <c r="E1316">
        <v>1093400.8899999999</v>
      </c>
      <c r="F1316" t="s">
        <v>14</v>
      </c>
      <c r="G1316">
        <v>114</v>
      </c>
      <c r="H1316" s="1">
        <f t="shared" si="20"/>
        <v>45565</v>
      </c>
      <c r="I1316" t="s">
        <v>15</v>
      </c>
      <c r="J1316" s="1">
        <v>42066</v>
      </c>
      <c r="K1316" t="s">
        <v>22</v>
      </c>
      <c r="L1316" s="3">
        <v>5.8899999999999994E-2</v>
      </c>
      <c r="M1316" t="s">
        <v>17</v>
      </c>
      <c r="N1316" t="s">
        <v>26</v>
      </c>
      <c r="O1316">
        <v>1292616.3</v>
      </c>
      <c r="P1316" s="1">
        <v>46022</v>
      </c>
      <c r="R1316" s="7"/>
      <c r="S1316" s="7"/>
    </row>
    <row r="1317" spans="1:19" x14ac:dyDescent="0.3">
      <c r="A1317" t="s">
        <v>1365</v>
      </c>
      <c r="B1317" t="s">
        <v>20</v>
      </c>
      <c r="C1317" t="s">
        <v>51</v>
      </c>
      <c r="D1317" s="5">
        <v>3607761</v>
      </c>
      <c r="E1317">
        <v>1774066.2</v>
      </c>
      <c r="F1317" t="s">
        <v>33</v>
      </c>
      <c r="G1317">
        <v>288</v>
      </c>
      <c r="H1317" s="1">
        <f t="shared" si="20"/>
        <v>52231</v>
      </c>
      <c r="I1317" t="s">
        <v>15</v>
      </c>
      <c r="J1317" s="1">
        <v>43448</v>
      </c>
      <c r="K1317" t="s">
        <v>39</v>
      </c>
      <c r="L1317" s="3">
        <v>6.9099999999999995E-2</v>
      </c>
      <c r="M1317" t="s">
        <v>29</v>
      </c>
      <c r="N1317" t="s">
        <v>30</v>
      </c>
      <c r="O1317">
        <v>0</v>
      </c>
      <c r="P1317" s="1">
        <v>46022</v>
      </c>
      <c r="R1317" s="7"/>
      <c r="S1317" s="7"/>
    </row>
    <row r="1318" spans="1:19" x14ac:dyDescent="0.3">
      <c r="A1318" t="s">
        <v>1366</v>
      </c>
      <c r="B1318" t="s">
        <v>24</v>
      </c>
      <c r="C1318" t="s">
        <v>28</v>
      </c>
      <c r="D1318" s="5">
        <v>36888</v>
      </c>
      <c r="E1318">
        <v>34254.69</v>
      </c>
      <c r="F1318" t="s">
        <v>33</v>
      </c>
      <c r="G1318">
        <v>132</v>
      </c>
      <c r="H1318" s="1">
        <f t="shared" si="20"/>
        <v>49613</v>
      </c>
      <c r="I1318" t="s">
        <v>15</v>
      </c>
      <c r="J1318" s="1">
        <v>45594</v>
      </c>
      <c r="K1318" t="s">
        <v>22</v>
      </c>
      <c r="L1318" s="3">
        <v>6.93E-2</v>
      </c>
      <c r="M1318" t="s">
        <v>29</v>
      </c>
      <c r="N1318" t="s">
        <v>30</v>
      </c>
      <c r="O1318">
        <v>0</v>
      </c>
      <c r="P1318" s="1">
        <v>46022</v>
      </c>
      <c r="R1318" s="7"/>
      <c r="S1318" s="7"/>
    </row>
    <row r="1319" spans="1:19" x14ac:dyDescent="0.3">
      <c r="A1319" t="s">
        <v>1367</v>
      </c>
      <c r="B1319" t="s">
        <v>12</v>
      </c>
      <c r="C1319" t="s">
        <v>13</v>
      </c>
      <c r="D1319" s="5">
        <v>26231734</v>
      </c>
      <c r="E1319">
        <v>10768524.43</v>
      </c>
      <c r="F1319" t="s">
        <v>48</v>
      </c>
      <c r="G1319">
        <v>126</v>
      </c>
      <c r="H1319" s="1">
        <f t="shared" si="20"/>
        <v>45473</v>
      </c>
      <c r="I1319" t="s">
        <v>15</v>
      </c>
      <c r="J1319" s="1">
        <v>41628</v>
      </c>
      <c r="K1319" t="s">
        <v>39</v>
      </c>
      <c r="L1319" s="3">
        <v>6.5000000000000002E-2</v>
      </c>
      <c r="M1319" t="s">
        <v>17</v>
      </c>
      <c r="N1319" t="s">
        <v>54</v>
      </c>
      <c r="O1319">
        <v>38003950.700000003</v>
      </c>
      <c r="P1319" s="1">
        <v>46022</v>
      </c>
      <c r="R1319" s="7"/>
      <c r="S1319" s="7"/>
    </row>
    <row r="1320" spans="1:19" x14ac:dyDescent="0.3">
      <c r="A1320" t="s">
        <v>1368</v>
      </c>
      <c r="B1320" t="s">
        <v>12</v>
      </c>
      <c r="C1320" t="s">
        <v>63</v>
      </c>
      <c r="D1320" s="5">
        <v>8906777</v>
      </c>
      <c r="E1320">
        <v>1329420.55</v>
      </c>
      <c r="F1320" t="s">
        <v>33</v>
      </c>
      <c r="G1320">
        <v>360</v>
      </c>
      <c r="H1320" s="1">
        <f t="shared" si="20"/>
        <v>53508</v>
      </c>
      <c r="I1320" t="s">
        <v>15</v>
      </c>
      <c r="J1320" s="1">
        <v>42529</v>
      </c>
      <c r="K1320" t="s">
        <v>39</v>
      </c>
      <c r="L1320" s="3">
        <v>6.7099999999999993E-2</v>
      </c>
      <c r="M1320" t="s">
        <v>17</v>
      </c>
      <c r="N1320" t="s">
        <v>42</v>
      </c>
      <c r="O1320">
        <v>10703620.119999999</v>
      </c>
      <c r="P1320" s="1">
        <v>46022</v>
      </c>
      <c r="R1320" s="7"/>
      <c r="S1320" s="7"/>
    </row>
    <row r="1321" spans="1:19" x14ac:dyDescent="0.3">
      <c r="A1321" t="s">
        <v>1369</v>
      </c>
      <c r="B1321" t="s">
        <v>24</v>
      </c>
      <c r="C1321" t="s">
        <v>41</v>
      </c>
      <c r="D1321" s="5">
        <v>17520</v>
      </c>
      <c r="E1321">
        <v>4972.46</v>
      </c>
      <c r="F1321" t="s">
        <v>14</v>
      </c>
      <c r="G1321">
        <v>312</v>
      </c>
      <c r="H1321" s="1">
        <f t="shared" si="20"/>
        <v>51532</v>
      </c>
      <c r="I1321" t="s">
        <v>15</v>
      </c>
      <c r="J1321" s="1">
        <v>42009</v>
      </c>
      <c r="K1321" t="s">
        <v>35</v>
      </c>
      <c r="L1321" s="3">
        <v>3.27E-2</v>
      </c>
      <c r="M1321" t="s">
        <v>17</v>
      </c>
      <c r="N1321" t="s">
        <v>42</v>
      </c>
      <c r="O1321">
        <v>19516.68</v>
      </c>
      <c r="P1321" s="1">
        <v>46022</v>
      </c>
      <c r="R1321" s="7"/>
      <c r="S1321" s="7"/>
    </row>
    <row r="1322" spans="1:19" x14ac:dyDescent="0.3">
      <c r="A1322" t="s">
        <v>1370</v>
      </c>
      <c r="B1322" t="s">
        <v>20</v>
      </c>
      <c r="C1322" t="s">
        <v>89</v>
      </c>
      <c r="D1322" s="5">
        <v>144688</v>
      </c>
      <c r="E1322">
        <v>68991.13</v>
      </c>
      <c r="F1322" t="s">
        <v>33</v>
      </c>
      <c r="G1322">
        <v>264</v>
      </c>
      <c r="H1322" s="1">
        <f t="shared" si="20"/>
        <v>49064</v>
      </c>
      <c r="I1322" t="s">
        <v>15</v>
      </c>
      <c r="J1322" s="1">
        <v>41018</v>
      </c>
      <c r="K1322" t="s">
        <v>35</v>
      </c>
      <c r="L1322" s="3">
        <v>3.0899999999999997E-2</v>
      </c>
      <c r="M1322" t="s">
        <v>17</v>
      </c>
      <c r="N1322" t="s">
        <v>54</v>
      </c>
      <c r="O1322">
        <v>281103.5</v>
      </c>
      <c r="P1322" s="1">
        <v>46022</v>
      </c>
      <c r="R1322" s="7"/>
      <c r="S1322" s="7"/>
    </row>
    <row r="1323" spans="1:19" x14ac:dyDescent="0.3">
      <c r="A1323" t="s">
        <v>1371</v>
      </c>
      <c r="B1323" t="s">
        <v>12</v>
      </c>
      <c r="C1323" t="s">
        <v>63</v>
      </c>
      <c r="D1323" s="5">
        <v>9121661</v>
      </c>
      <c r="E1323">
        <v>2715257.83</v>
      </c>
      <c r="F1323" t="s">
        <v>48</v>
      </c>
      <c r="G1323">
        <v>192</v>
      </c>
      <c r="H1323" s="1">
        <f t="shared" si="20"/>
        <v>50405</v>
      </c>
      <c r="I1323" t="s">
        <v>15</v>
      </c>
      <c r="J1323" s="1">
        <v>44550</v>
      </c>
      <c r="K1323" t="s">
        <v>22</v>
      </c>
      <c r="L1323" s="3">
        <v>3.9199999999999999E-2</v>
      </c>
      <c r="M1323" t="s">
        <v>17</v>
      </c>
      <c r="N1323" t="s">
        <v>42</v>
      </c>
      <c r="O1323">
        <v>14559530.640000001</v>
      </c>
      <c r="P1323" s="1">
        <v>46022</v>
      </c>
      <c r="R1323" s="7"/>
      <c r="S1323" s="7"/>
    </row>
    <row r="1324" spans="1:19" x14ac:dyDescent="0.3">
      <c r="A1324" t="s">
        <v>1372</v>
      </c>
      <c r="B1324" t="s">
        <v>20</v>
      </c>
      <c r="C1324" t="s">
        <v>89</v>
      </c>
      <c r="D1324" s="5">
        <v>4459735</v>
      </c>
      <c r="E1324">
        <v>446884.77</v>
      </c>
      <c r="F1324" t="s">
        <v>33</v>
      </c>
      <c r="G1324">
        <v>300</v>
      </c>
      <c r="H1324" s="1">
        <f t="shared" si="20"/>
        <v>54148</v>
      </c>
      <c r="I1324" t="s">
        <v>15</v>
      </c>
      <c r="J1324" s="1">
        <v>44998</v>
      </c>
      <c r="K1324" t="s">
        <v>22</v>
      </c>
      <c r="L1324" s="3">
        <v>7.2599999999999998E-2</v>
      </c>
      <c r="M1324" t="s">
        <v>17</v>
      </c>
      <c r="N1324" t="s">
        <v>42</v>
      </c>
      <c r="O1324">
        <v>6196700</v>
      </c>
      <c r="P1324" s="1">
        <v>46022</v>
      </c>
      <c r="R1324" s="7"/>
      <c r="S1324" s="7"/>
    </row>
    <row r="1325" spans="1:19" x14ac:dyDescent="0.3">
      <c r="A1325" t="s">
        <v>1373</v>
      </c>
      <c r="B1325" t="s">
        <v>24</v>
      </c>
      <c r="C1325" t="s">
        <v>32</v>
      </c>
      <c r="D1325" s="5">
        <v>12835</v>
      </c>
      <c r="E1325">
        <v>11853.43</v>
      </c>
      <c r="F1325" t="s">
        <v>33</v>
      </c>
      <c r="G1325">
        <v>138</v>
      </c>
      <c r="H1325" s="1">
        <f t="shared" si="20"/>
        <v>49399</v>
      </c>
      <c r="I1325" t="s">
        <v>15</v>
      </c>
      <c r="J1325" s="1">
        <v>45181</v>
      </c>
      <c r="K1325" t="s">
        <v>39</v>
      </c>
      <c r="L1325" s="3">
        <v>9.2100000000000015E-2</v>
      </c>
      <c r="M1325" t="s">
        <v>29</v>
      </c>
      <c r="N1325" t="s">
        <v>30</v>
      </c>
      <c r="O1325">
        <v>0</v>
      </c>
      <c r="P1325" s="1">
        <v>46022</v>
      </c>
      <c r="R1325" s="7"/>
      <c r="S1325" s="7"/>
    </row>
    <row r="1326" spans="1:19" x14ac:dyDescent="0.3">
      <c r="A1326" t="s">
        <v>1374</v>
      </c>
      <c r="B1326" t="s">
        <v>24</v>
      </c>
      <c r="C1326" t="s">
        <v>32</v>
      </c>
      <c r="D1326" s="5">
        <v>18359</v>
      </c>
      <c r="E1326">
        <v>15779.66</v>
      </c>
      <c r="F1326" t="s">
        <v>33</v>
      </c>
      <c r="G1326">
        <v>78</v>
      </c>
      <c r="H1326" s="1">
        <f t="shared" si="20"/>
        <v>46996</v>
      </c>
      <c r="I1326" t="s">
        <v>15</v>
      </c>
      <c r="J1326" s="1">
        <v>44609</v>
      </c>
      <c r="K1326" t="s">
        <v>22</v>
      </c>
      <c r="L1326" s="3">
        <v>5.5E-2</v>
      </c>
      <c r="M1326" t="s">
        <v>29</v>
      </c>
      <c r="N1326" t="s">
        <v>30</v>
      </c>
      <c r="O1326">
        <v>0</v>
      </c>
      <c r="P1326" s="1">
        <v>46022</v>
      </c>
      <c r="R1326" s="7"/>
      <c r="S1326" s="7"/>
    </row>
    <row r="1327" spans="1:19" x14ac:dyDescent="0.3">
      <c r="A1327" t="s">
        <v>1375</v>
      </c>
      <c r="B1327" t="s">
        <v>24</v>
      </c>
      <c r="C1327" t="s">
        <v>32</v>
      </c>
      <c r="D1327" s="5">
        <v>6162</v>
      </c>
      <c r="E1327">
        <v>4732.75</v>
      </c>
      <c r="F1327" t="s">
        <v>33</v>
      </c>
      <c r="G1327">
        <v>36</v>
      </c>
      <c r="H1327" s="1">
        <f t="shared" si="20"/>
        <v>46387</v>
      </c>
      <c r="I1327" t="s">
        <v>15</v>
      </c>
      <c r="J1327" s="1">
        <v>45262</v>
      </c>
      <c r="K1327" t="s">
        <v>22</v>
      </c>
      <c r="L1327" s="3">
        <v>4.3899999999999995E-2</v>
      </c>
      <c r="M1327" t="s">
        <v>29</v>
      </c>
      <c r="N1327" t="s">
        <v>30</v>
      </c>
      <c r="O1327">
        <v>0</v>
      </c>
      <c r="P1327" s="1">
        <v>46022</v>
      </c>
      <c r="R1327" s="7"/>
      <c r="S1327" s="7"/>
    </row>
    <row r="1328" spans="1:19" x14ac:dyDescent="0.3">
      <c r="A1328" t="s">
        <v>1376</v>
      </c>
      <c r="B1328" t="s">
        <v>12</v>
      </c>
      <c r="C1328" t="s">
        <v>63</v>
      </c>
      <c r="D1328" s="5">
        <v>11895704</v>
      </c>
      <c r="E1328">
        <v>2986215.86</v>
      </c>
      <c r="F1328" t="s">
        <v>33</v>
      </c>
      <c r="G1328">
        <v>60</v>
      </c>
      <c r="H1328" s="1">
        <f t="shared" si="20"/>
        <v>45169</v>
      </c>
      <c r="I1328" t="s">
        <v>15</v>
      </c>
      <c r="J1328" s="1">
        <v>43327</v>
      </c>
      <c r="K1328" t="s">
        <v>35</v>
      </c>
      <c r="L1328" s="3">
        <v>3.9599999999999996E-2</v>
      </c>
      <c r="M1328" t="s">
        <v>17</v>
      </c>
      <c r="N1328" t="s">
        <v>18</v>
      </c>
      <c r="O1328">
        <v>15250959.460000001</v>
      </c>
      <c r="P1328" s="1">
        <v>46022</v>
      </c>
      <c r="R1328" s="7"/>
      <c r="S1328" s="7"/>
    </row>
    <row r="1329" spans="1:19" x14ac:dyDescent="0.3">
      <c r="A1329" t="s">
        <v>1377</v>
      </c>
      <c r="B1329" t="s">
        <v>37</v>
      </c>
      <c r="C1329" t="s">
        <v>144</v>
      </c>
      <c r="D1329" s="5">
        <v>264420040</v>
      </c>
      <c r="E1329">
        <v>55085891.409999996</v>
      </c>
      <c r="F1329" t="s">
        <v>48</v>
      </c>
      <c r="G1329">
        <v>168</v>
      </c>
      <c r="H1329" s="1">
        <f t="shared" si="20"/>
        <v>48304</v>
      </c>
      <c r="I1329" t="s">
        <v>15</v>
      </c>
      <c r="J1329" s="1">
        <v>43166</v>
      </c>
      <c r="K1329" t="s">
        <v>35</v>
      </c>
      <c r="L1329" s="3">
        <v>4.2699999999999995E-2</v>
      </c>
      <c r="M1329" t="s">
        <v>17</v>
      </c>
      <c r="N1329" t="s">
        <v>42</v>
      </c>
      <c r="O1329">
        <v>357300683.89999998</v>
      </c>
      <c r="P1329" s="1">
        <v>46022</v>
      </c>
      <c r="R1329" s="7"/>
      <c r="S1329" s="7"/>
    </row>
    <row r="1330" spans="1:19" x14ac:dyDescent="0.3">
      <c r="A1330" t="s">
        <v>1378</v>
      </c>
      <c r="B1330" t="s">
        <v>24</v>
      </c>
      <c r="C1330" t="s">
        <v>32</v>
      </c>
      <c r="D1330" s="5">
        <v>30780</v>
      </c>
      <c r="E1330">
        <v>4950.7700000000004</v>
      </c>
      <c r="F1330" t="s">
        <v>33</v>
      </c>
      <c r="G1330">
        <v>84</v>
      </c>
      <c r="H1330" s="1">
        <f t="shared" si="20"/>
        <v>45930</v>
      </c>
      <c r="I1330" t="s">
        <v>15</v>
      </c>
      <c r="J1330" s="1">
        <v>43356</v>
      </c>
      <c r="K1330" t="s">
        <v>22</v>
      </c>
      <c r="L1330" s="3">
        <v>5.0199999999999995E-2</v>
      </c>
      <c r="M1330" t="s">
        <v>29</v>
      </c>
      <c r="N1330" t="s">
        <v>30</v>
      </c>
      <c r="O1330">
        <v>0</v>
      </c>
      <c r="P1330" s="1">
        <v>46022</v>
      </c>
      <c r="R1330" s="7"/>
      <c r="S1330" s="7"/>
    </row>
    <row r="1331" spans="1:19" x14ac:dyDescent="0.3">
      <c r="A1331" t="s">
        <v>1379</v>
      </c>
      <c r="B1331" t="s">
        <v>24</v>
      </c>
      <c r="C1331" t="s">
        <v>32</v>
      </c>
      <c r="D1331" s="5">
        <v>13022</v>
      </c>
      <c r="E1331">
        <v>9787.8700000000008</v>
      </c>
      <c r="F1331" t="s">
        <v>33</v>
      </c>
      <c r="G1331">
        <v>48</v>
      </c>
      <c r="H1331" s="1">
        <f t="shared" si="20"/>
        <v>45961</v>
      </c>
      <c r="I1331" t="s">
        <v>15</v>
      </c>
      <c r="J1331" s="1">
        <v>44496</v>
      </c>
      <c r="K1331" t="s">
        <v>22</v>
      </c>
      <c r="L1331" s="3">
        <v>3.95E-2</v>
      </c>
      <c r="M1331" t="s">
        <v>29</v>
      </c>
      <c r="N1331" t="s">
        <v>30</v>
      </c>
      <c r="O1331">
        <v>0</v>
      </c>
      <c r="P1331" s="1">
        <v>46022</v>
      </c>
      <c r="R1331" s="7"/>
      <c r="S1331" s="7"/>
    </row>
    <row r="1332" spans="1:19" x14ac:dyDescent="0.3">
      <c r="A1332" t="s">
        <v>1380</v>
      </c>
      <c r="B1332" t="s">
        <v>20</v>
      </c>
      <c r="C1332" t="s">
        <v>21</v>
      </c>
      <c r="D1332" s="5">
        <v>335774</v>
      </c>
      <c r="E1332">
        <v>314260.19</v>
      </c>
      <c r="F1332" t="s">
        <v>48</v>
      </c>
      <c r="G1332">
        <v>60</v>
      </c>
      <c r="H1332" s="1">
        <f t="shared" si="20"/>
        <v>45382</v>
      </c>
      <c r="I1332" t="s">
        <v>15</v>
      </c>
      <c r="J1332" s="1">
        <v>43525</v>
      </c>
      <c r="K1332" t="s">
        <v>22</v>
      </c>
      <c r="L1332" s="3">
        <v>4.2199999999999994E-2</v>
      </c>
      <c r="M1332" t="s">
        <v>29</v>
      </c>
      <c r="N1332" t="s">
        <v>30</v>
      </c>
      <c r="O1332">
        <v>0</v>
      </c>
      <c r="P1332" s="1">
        <v>46022</v>
      </c>
      <c r="R1332" s="7"/>
      <c r="S1332" s="7"/>
    </row>
    <row r="1333" spans="1:19" x14ac:dyDescent="0.3">
      <c r="A1333" t="s">
        <v>1381</v>
      </c>
      <c r="B1333" t="s">
        <v>12</v>
      </c>
      <c r="C1333" t="s">
        <v>26</v>
      </c>
      <c r="D1333" s="5">
        <v>20160611</v>
      </c>
      <c r="E1333">
        <v>9827939.5899999999</v>
      </c>
      <c r="F1333" t="s">
        <v>14</v>
      </c>
      <c r="G1333">
        <v>342</v>
      </c>
      <c r="H1333" s="1">
        <f t="shared" si="20"/>
        <v>52474</v>
      </c>
      <c r="I1333" t="s">
        <v>15</v>
      </c>
      <c r="J1333" s="1">
        <v>42062</v>
      </c>
      <c r="K1333" t="s">
        <v>35</v>
      </c>
      <c r="L1333" s="3">
        <v>3.6699999999999997E-2</v>
      </c>
      <c r="M1333" t="s">
        <v>29</v>
      </c>
      <c r="N1333" t="s">
        <v>30</v>
      </c>
      <c r="O1333">
        <v>0</v>
      </c>
      <c r="P1333" s="1">
        <v>46022</v>
      </c>
      <c r="R1333" s="7"/>
      <c r="S1333" s="7"/>
    </row>
    <row r="1334" spans="1:19" x14ac:dyDescent="0.3">
      <c r="A1334" t="s">
        <v>1382</v>
      </c>
      <c r="B1334" t="s">
        <v>20</v>
      </c>
      <c r="C1334" t="s">
        <v>51</v>
      </c>
      <c r="D1334" s="5">
        <v>1209307</v>
      </c>
      <c r="E1334">
        <v>250600.52</v>
      </c>
      <c r="F1334" t="s">
        <v>48</v>
      </c>
      <c r="G1334">
        <v>306</v>
      </c>
      <c r="H1334" s="1">
        <f t="shared" si="20"/>
        <v>54209</v>
      </c>
      <c r="I1334" t="s">
        <v>15</v>
      </c>
      <c r="J1334" s="1">
        <v>44873</v>
      </c>
      <c r="K1334" t="s">
        <v>39</v>
      </c>
      <c r="L1334" s="3">
        <v>7.2700000000000001E-2</v>
      </c>
      <c r="M1334" t="s">
        <v>29</v>
      </c>
      <c r="N1334" t="s">
        <v>30</v>
      </c>
      <c r="O1334">
        <v>0</v>
      </c>
      <c r="P1334" s="1">
        <v>46022</v>
      </c>
      <c r="R1334" s="7"/>
      <c r="S1334" s="7"/>
    </row>
    <row r="1335" spans="1:19" x14ac:dyDescent="0.3">
      <c r="A1335" t="s">
        <v>1383</v>
      </c>
      <c r="B1335" t="s">
        <v>12</v>
      </c>
      <c r="C1335" t="s">
        <v>13</v>
      </c>
      <c r="D1335" s="5">
        <v>11758142</v>
      </c>
      <c r="E1335">
        <v>6598123.1299999999</v>
      </c>
      <c r="F1335" t="s">
        <v>14</v>
      </c>
      <c r="G1335">
        <v>210</v>
      </c>
      <c r="H1335" s="1">
        <f t="shared" si="20"/>
        <v>48457</v>
      </c>
      <c r="I1335" t="s">
        <v>15</v>
      </c>
      <c r="J1335" s="1">
        <v>42038</v>
      </c>
      <c r="K1335" t="s">
        <v>16</v>
      </c>
      <c r="L1335" s="3">
        <v>9.5399999999999985E-2</v>
      </c>
      <c r="M1335" t="s">
        <v>17</v>
      </c>
      <c r="N1335" t="s">
        <v>42</v>
      </c>
      <c r="O1335">
        <v>19031175.34</v>
      </c>
      <c r="P1335" s="1">
        <v>46022</v>
      </c>
      <c r="R1335" s="7"/>
      <c r="S1335" s="7"/>
    </row>
    <row r="1336" spans="1:19" x14ac:dyDescent="0.3">
      <c r="A1336" t="s">
        <v>1384</v>
      </c>
      <c r="B1336" t="s">
        <v>20</v>
      </c>
      <c r="C1336" t="s">
        <v>21</v>
      </c>
      <c r="D1336" s="5">
        <v>4801321</v>
      </c>
      <c r="E1336">
        <v>1987500.61</v>
      </c>
      <c r="F1336" t="s">
        <v>33</v>
      </c>
      <c r="G1336">
        <v>222</v>
      </c>
      <c r="H1336" s="1">
        <f t="shared" si="20"/>
        <v>49521</v>
      </c>
      <c r="I1336" t="s">
        <v>15</v>
      </c>
      <c r="J1336" s="1">
        <v>42758</v>
      </c>
      <c r="K1336" t="s">
        <v>22</v>
      </c>
      <c r="L1336" s="3">
        <v>4.3499999999999997E-2</v>
      </c>
      <c r="M1336" t="s">
        <v>29</v>
      </c>
      <c r="N1336" t="s">
        <v>30</v>
      </c>
      <c r="O1336">
        <v>0</v>
      </c>
      <c r="P1336" s="1">
        <v>46022</v>
      </c>
      <c r="R1336" s="7"/>
      <c r="S1336" s="7"/>
    </row>
    <row r="1337" spans="1:19" x14ac:dyDescent="0.3">
      <c r="A1337" t="s">
        <v>1385</v>
      </c>
      <c r="B1337" t="s">
        <v>24</v>
      </c>
      <c r="C1337" t="s">
        <v>28</v>
      </c>
      <c r="D1337" s="5">
        <v>31199</v>
      </c>
      <c r="E1337">
        <v>13644.52</v>
      </c>
      <c r="F1337" t="s">
        <v>48</v>
      </c>
      <c r="G1337">
        <v>126</v>
      </c>
      <c r="H1337" s="1">
        <f t="shared" si="20"/>
        <v>48273</v>
      </c>
      <c r="I1337" t="s">
        <v>15</v>
      </c>
      <c r="J1337" s="1">
        <v>44428</v>
      </c>
      <c r="K1337" t="s">
        <v>22</v>
      </c>
      <c r="L1337" s="3">
        <v>4.07E-2</v>
      </c>
      <c r="M1337" t="s">
        <v>29</v>
      </c>
      <c r="N1337" t="s">
        <v>30</v>
      </c>
      <c r="O1337">
        <v>0</v>
      </c>
      <c r="P1337" s="1">
        <v>46022</v>
      </c>
      <c r="R1337" s="7"/>
      <c r="S1337" s="7"/>
    </row>
    <row r="1338" spans="1:19" x14ac:dyDescent="0.3">
      <c r="A1338" t="s">
        <v>1386</v>
      </c>
      <c r="B1338" t="s">
        <v>24</v>
      </c>
      <c r="C1338" t="s">
        <v>28</v>
      </c>
      <c r="D1338" s="5">
        <v>28287</v>
      </c>
      <c r="E1338" s="4">
        <v>18646.75</v>
      </c>
      <c r="F1338" t="s">
        <v>48</v>
      </c>
      <c r="G1338">
        <v>348</v>
      </c>
      <c r="H1338" s="1">
        <f t="shared" si="20"/>
        <v>55609</v>
      </c>
      <c r="I1338" t="s">
        <v>15</v>
      </c>
      <c r="J1338" s="1">
        <v>44994</v>
      </c>
      <c r="K1338" t="s">
        <v>101</v>
      </c>
      <c r="L1338" s="3">
        <v>0.1739</v>
      </c>
      <c r="M1338" t="s">
        <v>29</v>
      </c>
      <c r="N1338" t="s">
        <v>30</v>
      </c>
      <c r="O1338">
        <v>0</v>
      </c>
      <c r="P1338" s="1">
        <v>46022</v>
      </c>
      <c r="R1338" s="7"/>
      <c r="S1338" s="7"/>
    </row>
    <row r="1339" spans="1:19" x14ac:dyDescent="0.3">
      <c r="A1339" t="s">
        <v>1387</v>
      </c>
      <c r="B1339" t="s">
        <v>37</v>
      </c>
      <c r="C1339" t="s">
        <v>74</v>
      </c>
      <c r="D1339" s="5">
        <v>213729801</v>
      </c>
      <c r="E1339">
        <v>159623311.30000001</v>
      </c>
      <c r="F1339" t="s">
        <v>48</v>
      </c>
      <c r="G1339">
        <v>108</v>
      </c>
      <c r="H1339" s="1">
        <f t="shared" si="20"/>
        <v>45688</v>
      </c>
      <c r="I1339" t="s">
        <v>15</v>
      </c>
      <c r="J1339" s="1">
        <v>42375</v>
      </c>
      <c r="K1339" t="s">
        <v>22</v>
      </c>
      <c r="L1339" s="3">
        <v>4.5999999999999999E-2</v>
      </c>
      <c r="M1339" t="s">
        <v>17</v>
      </c>
      <c r="N1339" t="s">
        <v>18</v>
      </c>
      <c r="O1339">
        <v>288244001.30000001</v>
      </c>
      <c r="P1339" s="1">
        <v>46022</v>
      </c>
      <c r="R1339" s="7"/>
      <c r="S1339" s="7"/>
    </row>
    <row r="1340" spans="1:19" x14ac:dyDescent="0.3">
      <c r="A1340" t="s">
        <v>1388</v>
      </c>
      <c r="B1340" t="s">
        <v>24</v>
      </c>
      <c r="C1340" t="s">
        <v>41</v>
      </c>
      <c r="D1340" s="5">
        <v>48605</v>
      </c>
      <c r="E1340">
        <v>9698.7999999999993</v>
      </c>
      <c r="F1340" t="s">
        <v>14</v>
      </c>
      <c r="G1340">
        <v>198</v>
      </c>
      <c r="H1340" s="1">
        <f t="shared" si="20"/>
        <v>47422</v>
      </c>
      <c r="I1340" t="s">
        <v>15</v>
      </c>
      <c r="J1340" s="1">
        <v>41379</v>
      </c>
      <c r="K1340" t="s">
        <v>22</v>
      </c>
      <c r="L1340" s="3">
        <v>4.4800000000000006E-2</v>
      </c>
      <c r="M1340" t="s">
        <v>17</v>
      </c>
      <c r="N1340" t="s">
        <v>42</v>
      </c>
      <c r="O1340">
        <v>48884.59</v>
      </c>
      <c r="P1340" s="1">
        <v>46022</v>
      </c>
      <c r="R1340" s="7"/>
      <c r="S1340" s="7"/>
    </row>
    <row r="1341" spans="1:19" x14ac:dyDescent="0.3">
      <c r="A1341" t="s">
        <v>1389</v>
      </c>
      <c r="B1341" t="s">
        <v>24</v>
      </c>
      <c r="C1341" t="s">
        <v>32</v>
      </c>
      <c r="D1341" s="5">
        <v>27504</v>
      </c>
      <c r="E1341">
        <v>3631.43</v>
      </c>
      <c r="F1341" t="s">
        <v>33</v>
      </c>
      <c r="G1341">
        <v>60</v>
      </c>
      <c r="H1341" s="1">
        <f t="shared" si="20"/>
        <v>45291</v>
      </c>
      <c r="I1341" t="s">
        <v>15</v>
      </c>
      <c r="J1341" s="1">
        <v>43449</v>
      </c>
      <c r="K1341" t="s">
        <v>56</v>
      </c>
      <c r="L1341" s="3">
        <v>3.3000000000000002E-2</v>
      </c>
      <c r="M1341" t="s">
        <v>29</v>
      </c>
      <c r="N1341" t="s">
        <v>30</v>
      </c>
      <c r="O1341">
        <v>0</v>
      </c>
      <c r="P1341" s="1">
        <v>46022</v>
      </c>
      <c r="R1341" s="7"/>
      <c r="S1341" s="7"/>
    </row>
    <row r="1342" spans="1:19" x14ac:dyDescent="0.3">
      <c r="A1342" t="s">
        <v>1390</v>
      </c>
      <c r="B1342" t="s">
        <v>24</v>
      </c>
      <c r="C1342" t="s">
        <v>28</v>
      </c>
      <c r="D1342" s="5">
        <v>35125</v>
      </c>
      <c r="E1342">
        <v>34945.83</v>
      </c>
      <c r="F1342" t="s">
        <v>33</v>
      </c>
      <c r="G1342">
        <v>306</v>
      </c>
      <c r="H1342" s="1">
        <f t="shared" si="20"/>
        <v>53266</v>
      </c>
      <c r="I1342" t="s">
        <v>15</v>
      </c>
      <c r="J1342" s="1">
        <v>43934</v>
      </c>
      <c r="K1342" t="s">
        <v>39</v>
      </c>
      <c r="L1342" s="3">
        <v>5.5199999999999999E-2</v>
      </c>
      <c r="M1342" t="s">
        <v>29</v>
      </c>
      <c r="N1342" t="s">
        <v>30</v>
      </c>
      <c r="O1342">
        <v>0</v>
      </c>
      <c r="P1342" s="1">
        <v>46022</v>
      </c>
      <c r="R1342" s="7"/>
      <c r="S1342" s="7"/>
    </row>
    <row r="1343" spans="1:19" x14ac:dyDescent="0.3">
      <c r="A1343" t="s">
        <v>1391</v>
      </c>
      <c r="B1343" t="s">
        <v>12</v>
      </c>
      <c r="C1343" t="s">
        <v>61</v>
      </c>
      <c r="D1343" s="5">
        <v>35405159</v>
      </c>
      <c r="E1343">
        <v>10956321.59</v>
      </c>
      <c r="F1343" t="s">
        <v>14</v>
      </c>
      <c r="G1343">
        <v>294</v>
      </c>
      <c r="H1343" s="1">
        <f t="shared" si="20"/>
        <v>51317</v>
      </c>
      <c r="I1343" t="s">
        <v>15</v>
      </c>
      <c r="J1343" s="1">
        <v>42348</v>
      </c>
      <c r="K1343" t="s">
        <v>56</v>
      </c>
      <c r="L1343" s="3">
        <v>2.6800000000000001E-2</v>
      </c>
      <c r="M1343" t="s">
        <v>29</v>
      </c>
      <c r="N1343" t="s">
        <v>30</v>
      </c>
      <c r="O1343">
        <v>0</v>
      </c>
      <c r="P1343" s="1">
        <v>46022</v>
      </c>
      <c r="R1343" s="7"/>
      <c r="S1343" s="7"/>
    </row>
    <row r="1344" spans="1:19" x14ac:dyDescent="0.3">
      <c r="A1344" t="s">
        <v>1392</v>
      </c>
      <c r="B1344" t="s">
        <v>12</v>
      </c>
      <c r="C1344" t="s">
        <v>61</v>
      </c>
      <c r="D1344" s="5">
        <v>9413001</v>
      </c>
      <c r="E1344" s="4">
        <v>1397336.28</v>
      </c>
      <c r="F1344" t="s">
        <v>33</v>
      </c>
      <c r="G1344">
        <v>102</v>
      </c>
      <c r="H1344" s="1">
        <f t="shared" si="20"/>
        <v>45869</v>
      </c>
      <c r="I1344" t="s">
        <v>15</v>
      </c>
      <c r="J1344" s="1">
        <v>42747</v>
      </c>
      <c r="K1344" t="s">
        <v>35</v>
      </c>
      <c r="L1344" s="3">
        <v>0.14610000000000001</v>
      </c>
      <c r="M1344" t="s">
        <v>17</v>
      </c>
      <c r="N1344" t="s">
        <v>42</v>
      </c>
      <c r="O1344">
        <v>15120396.529999999</v>
      </c>
      <c r="P1344" s="1">
        <v>46022</v>
      </c>
      <c r="R1344" s="7"/>
      <c r="S1344" s="7"/>
    </row>
    <row r="1345" spans="1:19" x14ac:dyDescent="0.3">
      <c r="A1345" t="s">
        <v>1393</v>
      </c>
      <c r="B1345" t="s">
        <v>12</v>
      </c>
      <c r="C1345" t="s">
        <v>26</v>
      </c>
      <c r="D1345" s="5">
        <v>25505525</v>
      </c>
      <c r="E1345">
        <v>6909135.4199999999</v>
      </c>
      <c r="F1345" t="s">
        <v>33</v>
      </c>
      <c r="G1345">
        <v>258</v>
      </c>
      <c r="H1345" s="1">
        <f t="shared" si="20"/>
        <v>50495</v>
      </c>
      <c r="I1345" t="s">
        <v>15</v>
      </c>
      <c r="J1345" s="1">
        <v>42643</v>
      </c>
      <c r="K1345" t="s">
        <v>39</v>
      </c>
      <c r="L1345" s="3">
        <v>6.5199999999999994E-2</v>
      </c>
      <c r="M1345" t="s">
        <v>29</v>
      </c>
      <c r="N1345" t="s">
        <v>30</v>
      </c>
      <c r="O1345">
        <v>0</v>
      </c>
      <c r="P1345" s="1">
        <v>46022</v>
      </c>
      <c r="R1345" s="7"/>
      <c r="S1345" s="7"/>
    </row>
    <row r="1346" spans="1:19" x14ac:dyDescent="0.3">
      <c r="A1346" t="s">
        <v>1394</v>
      </c>
      <c r="B1346" t="s">
        <v>24</v>
      </c>
      <c r="C1346" t="s">
        <v>32</v>
      </c>
      <c r="D1346" s="5">
        <v>21186</v>
      </c>
      <c r="E1346">
        <v>2861.42</v>
      </c>
      <c r="F1346" t="s">
        <v>33</v>
      </c>
      <c r="G1346">
        <v>186</v>
      </c>
      <c r="H1346" s="1">
        <f t="shared" ref="H1346:H1409" si="21">EOMONTH(J1346,G1346)</f>
        <v>46721</v>
      </c>
      <c r="I1346" t="s">
        <v>15</v>
      </c>
      <c r="J1346" s="1">
        <v>41032</v>
      </c>
      <c r="K1346" t="s">
        <v>39</v>
      </c>
      <c r="L1346" s="3">
        <v>6.5299999999999997E-2</v>
      </c>
      <c r="M1346" t="s">
        <v>29</v>
      </c>
      <c r="N1346" t="s">
        <v>30</v>
      </c>
      <c r="O1346">
        <v>0</v>
      </c>
      <c r="P1346" s="1">
        <v>46022</v>
      </c>
      <c r="R1346" s="7"/>
      <c r="S1346" s="7"/>
    </row>
    <row r="1347" spans="1:19" x14ac:dyDescent="0.3">
      <c r="A1347" t="s">
        <v>1395</v>
      </c>
      <c r="B1347" t="s">
        <v>37</v>
      </c>
      <c r="C1347" t="s">
        <v>78</v>
      </c>
      <c r="D1347" s="5">
        <v>436558214</v>
      </c>
      <c r="E1347">
        <v>197599259.09999999</v>
      </c>
      <c r="F1347" t="s">
        <v>48</v>
      </c>
      <c r="G1347">
        <v>204</v>
      </c>
      <c r="H1347" s="1">
        <f t="shared" si="21"/>
        <v>51805</v>
      </c>
      <c r="I1347" t="s">
        <v>15</v>
      </c>
      <c r="J1347" s="1">
        <v>45567</v>
      </c>
      <c r="K1347" t="s">
        <v>39</v>
      </c>
      <c r="L1347" s="3">
        <v>8.5999999999999993E-2</v>
      </c>
      <c r="M1347" t="s">
        <v>17</v>
      </c>
      <c r="N1347" t="s">
        <v>18</v>
      </c>
      <c r="O1347">
        <v>644623183</v>
      </c>
      <c r="P1347" s="1">
        <v>46022</v>
      </c>
      <c r="R1347" s="7"/>
      <c r="S1347" s="7"/>
    </row>
    <row r="1348" spans="1:19" x14ac:dyDescent="0.3">
      <c r="A1348" t="s">
        <v>1396</v>
      </c>
      <c r="B1348" t="s">
        <v>24</v>
      </c>
      <c r="C1348" t="s">
        <v>25</v>
      </c>
      <c r="D1348" s="5">
        <v>668277</v>
      </c>
      <c r="E1348">
        <v>549431.72</v>
      </c>
      <c r="F1348" t="s">
        <v>14</v>
      </c>
      <c r="G1348">
        <v>60</v>
      </c>
      <c r="H1348" s="1">
        <f t="shared" si="21"/>
        <v>46081</v>
      </c>
      <c r="I1348" t="s">
        <v>15</v>
      </c>
      <c r="J1348" s="1">
        <v>44253</v>
      </c>
      <c r="K1348" t="s">
        <v>22</v>
      </c>
      <c r="L1348" s="3">
        <v>4.1200000000000001E-2</v>
      </c>
      <c r="M1348" t="s">
        <v>17</v>
      </c>
      <c r="N1348" t="s">
        <v>26</v>
      </c>
      <c r="O1348">
        <v>846868.25</v>
      </c>
      <c r="P1348" s="1">
        <v>46022</v>
      </c>
      <c r="R1348" s="7"/>
      <c r="S1348" s="7"/>
    </row>
    <row r="1349" spans="1:19" x14ac:dyDescent="0.3">
      <c r="A1349" t="s">
        <v>1397</v>
      </c>
      <c r="B1349" t="s">
        <v>12</v>
      </c>
      <c r="C1349" t="s">
        <v>13</v>
      </c>
      <c r="D1349" s="5">
        <v>27092699</v>
      </c>
      <c r="E1349">
        <v>11029979.85</v>
      </c>
      <c r="F1349" t="s">
        <v>14</v>
      </c>
      <c r="G1349">
        <v>132</v>
      </c>
      <c r="H1349" s="1">
        <f t="shared" si="21"/>
        <v>46326</v>
      </c>
      <c r="I1349" t="s">
        <v>15</v>
      </c>
      <c r="J1349" s="1">
        <v>42282</v>
      </c>
      <c r="K1349" t="s">
        <v>22</v>
      </c>
      <c r="L1349" s="3">
        <v>4.7800000000000002E-2</v>
      </c>
      <c r="M1349" t="s">
        <v>17</v>
      </c>
      <c r="N1349" t="s">
        <v>42</v>
      </c>
      <c r="O1349">
        <v>41161178.380000003</v>
      </c>
      <c r="P1349" s="1">
        <v>46022</v>
      </c>
      <c r="R1349" s="7"/>
      <c r="S1349" s="7"/>
    </row>
    <row r="1350" spans="1:19" x14ac:dyDescent="0.3">
      <c r="A1350" t="s">
        <v>1398</v>
      </c>
      <c r="B1350" t="s">
        <v>24</v>
      </c>
      <c r="C1350" t="s">
        <v>32</v>
      </c>
      <c r="D1350" s="5">
        <v>6654</v>
      </c>
      <c r="E1350">
        <v>3325.61</v>
      </c>
      <c r="F1350" t="s">
        <v>33</v>
      </c>
      <c r="G1350">
        <v>84</v>
      </c>
      <c r="H1350" s="1">
        <f t="shared" si="21"/>
        <v>47391</v>
      </c>
      <c r="I1350" t="s">
        <v>15</v>
      </c>
      <c r="J1350" s="1">
        <v>44806</v>
      </c>
      <c r="K1350" t="s">
        <v>16</v>
      </c>
      <c r="L1350" s="3">
        <v>0.1023</v>
      </c>
      <c r="M1350" t="s">
        <v>29</v>
      </c>
      <c r="N1350" t="s">
        <v>30</v>
      </c>
      <c r="O1350">
        <v>0</v>
      </c>
      <c r="P1350" s="1">
        <v>46022</v>
      </c>
      <c r="R1350" s="7"/>
      <c r="S1350" s="7"/>
    </row>
    <row r="1351" spans="1:19" x14ac:dyDescent="0.3">
      <c r="A1351" t="s">
        <v>1399</v>
      </c>
      <c r="B1351" t="s">
        <v>20</v>
      </c>
      <c r="C1351" t="s">
        <v>21</v>
      </c>
      <c r="D1351" s="5">
        <v>3047908</v>
      </c>
      <c r="E1351" s="4">
        <v>2158004.1800000002</v>
      </c>
      <c r="F1351" t="s">
        <v>33</v>
      </c>
      <c r="G1351">
        <v>48</v>
      </c>
      <c r="H1351" s="1">
        <f t="shared" si="21"/>
        <v>44957</v>
      </c>
      <c r="I1351" t="s">
        <v>15</v>
      </c>
      <c r="J1351" s="1">
        <v>43473</v>
      </c>
      <c r="K1351" t="s">
        <v>101</v>
      </c>
      <c r="L1351" s="3">
        <v>0.13639999999999999</v>
      </c>
      <c r="M1351" t="s">
        <v>29</v>
      </c>
      <c r="N1351" t="s">
        <v>30</v>
      </c>
      <c r="O1351">
        <v>0</v>
      </c>
      <c r="P1351" s="1">
        <v>46022</v>
      </c>
      <c r="R1351" s="7"/>
      <c r="S1351" s="7"/>
    </row>
    <row r="1352" spans="1:19" x14ac:dyDescent="0.3">
      <c r="A1352" t="s">
        <v>1400</v>
      </c>
      <c r="B1352" t="s">
        <v>24</v>
      </c>
      <c r="C1352" t="s">
        <v>32</v>
      </c>
      <c r="D1352" s="5">
        <v>6743</v>
      </c>
      <c r="E1352">
        <v>3762.62</v>
      </c>
      <c r="F1352" t="s">
        <v>33</v>
      </c>
      <c r="G1352">
        <v>60</v>
      </c>
      <c r="H1352" s="1">
        <f t="shared" si="21"/>
        <v>45626</v>
      </c>
      <c r="I1352" t="s">
        <v>15</v>
      </c>
      <c r="J1352" s="1">
        <v>43785</v>
      </c>
      <c r="K1352" t="s">
        <v>22</v>
      </c>
      <c r="L1352" s="3">
        <v>3.8199999999999998E-2</v>
      </c>
      <c r="M1352" t="s">
        <v>29</v>
      </c>
      <c r="N1352" t="s">
        <v>30</v>
      </c>
      <c r="O1352">
        <v>0</v>
      </c>
      <c r="P1352" s="1">
        <v>46022</v>
      </c>
      <c r="R1352" s="7"/>
      <c r="S1352" s="7"/>
    </row>
    <row r="1353" spans="1:19" x14ac:dyDescent="0.3">
      <c r="A1353" t="s">
        <v>1401</v>
      </c>
      <c r="B1353" t="s">
        <v>24</v>
      </c>
      <c r="C1353" t="s">
        <v>25</v>
      </c>
      <c r="D1353" s="5">
        <v>403486</v>
      </c>
      <c r="E1353">
        <v>353171.68</v>
      </c>
      <c r="F1353" t="s">
        <v>14</v>
      </c>
      <c r="G1353">
        <v>216</v>
      </c>
      <c r="H1353" s="1">
        <f t="shared" si="21"/>
        <v>47542</v>
      </c>
      <c r="I1353" t="s">
        <v>15</v>
      </c>
      <c r="J1353" s="1">
        <v>40966</v>
      </c>
      <c r="K1353" t="s">
        <v>16</v>
      </c>
      <c r="L1353" s="3">
        <v>8.6699999999999999E-2</v>
      </c>
      <c r="M1353" t="s">
        <v>17</v>
      </c>
      <c r="N1353" t="s">
        <v>26</v>
      </c>
      <c r="O1353">
        <v>567523.63</v>
      </c>
      <c r="P1353" s="1">
        <v>46022</v>
      </c>
      <c r="R1353" s="7"/>
      <c r="S1353" s="7"/>
    </row>
    <row r="1354" spans="1:19" x14ac:dyDescent="0.3">
      <c r="A1354" t="s">
        <v>1402</v>
      </c>
      <c r="B1354" t="s">
        <v>37</v>
      </c>
      <c r="C1354" t="s">
        <v>144</v>
      </c>
      <c r="D1354" s="5">
        <v>79992563</v>
      </c>
      <c r="E1354">
        <v>70348028.060000002</v>
      </c>
      <c r="F1354" t="s">
        <v>48</v>
      </c>
      <c r="G1354">
        <v>72</v>
      </c>
      <c r="H1354" s="1">
        <f t="shared" si="21"/>
        <v>45382</v>
      </c>
      <c r="I1354" t="s">
        <v>15</v>
      </c>
      <c r="J1354" s="1">
        <v>43167</v>
      </c>
      <c r="K1354" t="s">
        <v>22</v>
      </c>
      <c r="L1354" s="3">
        <v>5.0499999999999996E-2</v>
      </c>
      <c r="M1354" t="s">
        <v>17</v>
      </c>
      <c r="N1354" t="s">
        <v>18</v>
      </c>
      <c r="O1354">
        <v>123375835.3</v>
      </c>
      <c r="P1354" s="1">
        <v>46022</v>
      </c>
      <c r="R1354" s="7"/>
      <c r="S1354" s="7"/>
    </row>
    <row r="1355" spans="1:19" x14ac:dyDescent="0.3">
      <c r="A1355" t="s">
        <v>1403</v>
      </c>
      <c r="B1355" t="s">
        <v>24</v>
      </c>
      <c r="C1355" t="s">
        <v>41</v>
      </c>
      <c r="D1355" s="5">
        <v>72287</v>
      </c>
      <c r="E1355">
        <v>7873.43</v>
      </c>
      <c r="F1355" t="s">
        <v>14</v>
      </c>
      <c r="G1355">
        <v>270</v>
      </c>
      <c r="H1355" s="1">
        <f t="shared" si="21"/>
        <v>53082</v>
      </c>
      <c r="I1355" t="s">
        <v>15</v>
      </c>
      <c r="J1355" s="1">
        <v>44851</v>
      </c>
      <c r="K1355" t="s">
        <v>22</v>
      </c>
      <c r="L1355" s="3">
        <v>5.4600000000000003E-2</v>
      </c>
      <c r="M1355" t="s">
        <v>17</v>
      </c>
      <c r="N1355" t="s">
        <v>42</v>
      </c>
      <c r="O1355">
        <v>80154.399999999994</v>
      </c>
      <c r="P1355" s="1">
        <v>46022</v>
      </c>
      <c r="R1355" s="7"/>
      <c r="S1355" s="7"/>
    </row>
    <row r="1356" spans="1:19" x14ac:dyDescent="0.3">
      <c r="A1356" t="s">
        <v>1404</v>
      </c>
      <c r="B1356" t="s">
        <v>12</v>
      </c>
      <c r="C1356" t="s">
        <v>61</v>
      </c>
      <c r="D1356" s="5">
        <v>11106354</v>
      </c>
      <c r="E1356">
        <v>8887767</v>
      </c>
      <c r="F1356" t="s">
        <v>33</v>
      </c>
      <c r="G1356">
        <v>120</v>
      </c>
      <c r="H1356" s="1">
        <f t="shared" si="21"/>
        <v>45169</v>
      </c>
      <c r="I1356" t="s">
        <v>15</v>
      </c>
      <c r="J1356" s="1">
        <v>41508</v>
      </c>
      <c r="K1356" t="s">
        <v>22</v>
      </c>
      <c r="L1356" s="3">
        <v>5.2199999999999996E-2</v>
      </c>
      <c r="M1356" t="s">
        <v>17</v>
      </c>
      <c r="N1356" t="s">
        <v>42</v>
      </c>
      <c r="O1356">
        <v>13834231.92</v>
      </c>
      <c r="P1356" s="1">
        <v>46022</v>
      </c>
      <c r="R1356" s="7"/>
      <c r="S1356" s="7"/>
    </row>
    <row r="1357" spans="1:19" x14ac:dyDescent="0.3">
      <c r="A1357" t="s">
        <v>1405</v>
      </c>
      <c r="B1357" t="s">
        <v>24</v>
      </c>
      <c r="C1357" t="s">
        <v>41</v>
      </c>
      <c r="D1357" s="5">
        <v>45267</v>
      </c>
      <c r="E1357">
        <v>23297.3</v>
      </c>
      <c r="F1357" t="s">
        <v>14</v>
      </c>
      <c r="G1357">
        <v>60</v>
      </c>
      <c r="H1357" s="1">
        <f t="shared" si="21"/>
        <v>45260</v>
      </c>
      <c r="I1357" t="s">
        <v>15</v>
      </c>
      <c r="J1357" s="1">
        <v>43427</v>
      </c>
      <c r="K1357" t="s">
        <v>35</v>
      </c>
      <c r="L1357" s="3">
        <v>4.2900000000000001E-2</v>
      </c>
      <c r="M1357" t="s">
        <v>17</v>
      </c>
      <c r="N1357" t="s">
        <v>42</v>
      </c>
      <c r="O1357">
        <v>49566.63</v>
      </c>
      <c r="P1357" s="1">
        <v>46022</v>
      </c>
      <c r="R1357" s="7"/>
      <c r="S1357" s="7"/>
    </row>
    <row r="1358" spans="1:19" x14ac:dyDescent="0.3">
      <c r="A1358" t="s">
        <v>1406</v>
      </c>
      <c r="B1358" t="s">
        <v>24</v>
      </c>
      <c r="C1358" t="s">
        <v>25</v>
      </c>
      <c r="D1358" s="5">
        <v>906107</v>
      </c>
      <c r="E1358">
        <v>897006.8</v>
      </c>
      <c r="F1358" t="s">
        <v>14</v>
      </c>
      <c r="G1358">
        <v>90</v>
      </c>
      <c r="H1358" s="1">
        <f t="shared" si="21"/>
        <v>47664</v>
      </c>
      <c r="I1358" t="s">
        <v>15</v>
      </c>
      <c r="J1358" s="1">
        <v>44897</v>
      </c>
      <c r="K1358" t="s">
        <v>81</v>
      </c>
      <c r="L1358" s="3">
        <v>3.3399999999999999E-2</v>
      </c>
      <c r="M1358" t="s">
        <v>17</v>
      </c>
      <c r="N1358" t="s">
        <v>26</v>
      </c>
      <c r="O1358">
        <v>1123076.49</v>
      </c>
      <c r="P1358" s="1">
        <v>46022</v>
      </c>
      <c r="R1358" s="7"/>
      <c r="S1358" s="7"/>
    </row>
    <row r="1359" spans="1:19" x14ac:dyDescent="0.3">
      <c r="A1359" t="s">
        <v>1407</v>
      </c>
      <c r="B1359" t="s">
        <v>24</v>
      </c>
      <c r="C1359" t="s">
        <v>25</v>
      </c>
      <c r="D1359" s="5">
        <v>283885</v>
      </c>
      <c r="E1359">
        <v>151852.47</v>
      </c>
      <c r="F1359" t="s">
        <v>14</v>
      </c>
      <c r="G1359">
        <v>138</v>
      </c>
      <c r="H1359" s="1">
        <f t="shared" si="21"/>
        <v>45716</v>
      </c>
      <c r="I1359" t="s">
        <v>15</v>
      </c>
      <c r="J1359" s="1">
        <v>41506</v>
      </c>
      <c r="K1359" t="s">
        <v>35</v>
      </c>
      <c r="L1359" s="3">
        <v>3.3000000000000002E-2</v>
      </c>
      <c r="M1359" t="s">
        <v>17</v>
      </c>
      <c r="N1359" t="s">
        <v>26</v>
      </c>
      <c r="O1359">
        <v>343563.1</v>
      </c>
      <c r="P1359" s="1">
        <v>46022</v>
      </c>
      <c r="R1359" s="7"/>
      <c r="S1359" s="7"/>
    </row>
    <row r="1360" spans="1:19" x14ac:dyDescent="0.3">
      <c r="A1360" t="s">
        <v>1408</v>
      </c>
      <c r="B1360" t="s">
        <v>37</v>
      </c>
      <c r="C1360" t="s">
        <v>78</v>
      </c>
      <c r="D1360" s="5">
        <v>258824481</v>
      </c>
      <c r="E1360">
        <v>255771996.19999999</v>
      </c>
      <c r="F1360" t="s">
        <v>33</v>
      </c>
      <c r="G1360">
        <v>174</v>
      </c>
      <c r="H1360" s="1">
        <f t="shared" si="21"/>
        <v>47756</v>
      </c>
      <c r="I1360" t="s">
        <v>15</v>
      </c>
      <c r="J1360" s="1">
        <v>42459</v>
      </c>
      <c r="K1360" t="s">
        <v>22</v>
      </c>
      <c r="L1360" s="3">
        <v>3.9699999999999999E-2</v>
      </c>
      <c r="M1360" t="s">
        <v>17</v>
      </c>
      <c r="N1360" t="s">
        <v>18</v>
      </c>
      <c r="O1360">
        <v>363301795</v>
      </c>
      <c r="P1360" s="1">
        <v>46022</v>
      </c>
      <c r="R1360" s="7"/>
      <c r="S1360" s="7"/>
    </row>
    <row r="1361" spans="1:19" x14ac:dyDescent="0.3">
      <c r="A1361" t="s">
        <v>1409</v>
      </c>
      <c r="B1361" t="s">
        <v>24</v>
      </c>
      <c r="C1361" t="s">
        <v>41</v>
      </c>
      <c r="D1361" s="5">
        <v>47734</v>
      </c>
      <c r="E1361">
        <v>37190.5</v>
      </c>
      <c r="F1361" t="s">
        <v>14</v>
      </c>
      <c r="G1361">
        <v>102</v>
      </c>
      <c r="H1361" s="1">
        <f t="shared" si="21"/>
        <v>46418</v>
      </c>
      <c r="I1361" t="s">
        <v>15</v>
      </c>
      <c r="J1361" s="1">
        <v>43299</v>
      </c>
      <c r="K1361" t="s">
        <v>22</v>
      </c>
      <c r="L1361" s="3">
        <v>4.9299999999999997E-2</v>
      </c>
      <c r="M1361" t="s">
        <v>17</v>
      </c>
      <c r="N1361" t="s">
        <v>42</v>
      </c>
      <c r="O1361">
        <v>52285.22</v>
      </c>
      <c r="P1361" s="1">
        <v>46022</v>
      </c>
      <c r="R1361" s="7"/>
      <c r="S1361" s="7"/>
    </row>
    <row r="1362" spans="1:19" x14ac:dyDescent="0.3">
      <c r="A1362" t="s">
        <v>1410</v>
      </c>
      <c r="B1362" t="s">
        <v>24</v>
      </c>
      <c r="C1362" t="s">
        <v>32</v>
      </c>
      <c r="D1362" s="5">
        <v>1888</v>
      </c>
      <c r="E1362">
        <v>611.26</v>
      </c>
      <c r="F1362" t="s">
        <v>33</v>
      </c>
      <c r="G1362">
        <v>192</v>
      </c>
      <c r="H1362" s="1">
        <f t="shared" si="21"/>
        <v>49979</v>
      </c>
      <c r="I1362" t="s">
        <v>15</v>
      </c>
      <c r="J1362" s="1">
        <v>44117</v>
      </c>
      <c r="K1362" t="s">
        <v>22</v>
      </c>
      <c r="L1362" s="3">
        <v>3.1300000000000001E-2</v>
      </c>
      <c r="M1362" t="s">
        <v>29</v>
      </c>
      <c r="N1362" t="s">
        <v>30</v>
      </c>
      <c r="O1362">
        <v>0</v>
      </c>
      <c r="P1362" s="1">
        <v>46022</v>
      </c>
      <c r="R1362" s="7"/>
      <c r="S1362" s="7"/>
    </row>
    <row r="1363" spans="1:19" x14ac:dyDescent="0.3">
      <c r="A1363" t="s">
        <v>1411</v>
      </c>
      <c r="B1363" t="s">
        <v>24</v>
      </c>
      <c r="C1363" t="s">
        <v>41</v>
      </c>
      <c r="D1363" s="5">
        <v>81348</v>
      </c>
      <c r="E1363" s="4">
        <v>47552.55</v>
      </c>
      <c r="F1363" t="s">
        <v>14</v>
      </c>
      <c r="G1363">
        <v>60</v>
      </c>
      <c r="H1363" s="1">
        <f t="shared" si="21"/>
        <v>45930</v>
      </c>
      <c r="I1363" t="s">
        <v>15</v>
      </c>
      <c r="J1363" s="1">
        <v>44082</v>
      </c>
      <c r="K1363" t="s">
        <v>101</v>
      </c>
      <c r="L1363" s="3">
        <v>0.1421</v>
      </c>
      <c r="M1363" t="s">
        <v>17</v>
      </c>
      <c r="N1363" t="s">
        <v>42</v>
      </c>
      <c r="O1363">
        <v>83675.570000000007</v>
      </c>
      <c r="P1363" s="1">
        <v>46022</v>
      </c>
      <c r="R1363" s="7"/>
      <c r="S1363" s="7"/>
    </row>
    <row r="1364" spans="1:19" x14ac:dyDescent="0.3">
      <c r="A1364" t="s">
        <v>1412</v>
      </c>
      <c r="B1364" t="s">
        <v>24</v>
      </c>
      <c r="C1364" t="s">
        <v>32</v>
      </c>
      <c r="D1364" s="5">
        <v>4383</v>
      </c>
      <c r="E1364">
        <v>4352.2299999999996</v>
      </c>
      <c r="F1364" t="s">
        <v>33</v>
      </c>
      <c r="G1364">
        <v>180</v>
      </c>
      <c r="H1364" s="1">
        <f t="shared" si="21"/>
        <v>47057</v>
      </c>
      <c r="I1364" t="s">
        <v>15</v>
      </c>
      <c r="J1364" s="1">
        <v>41569</v>
      </c>
      <c r="K1364" t="s">
        <v>22</v>
      </c>
      <c r="L1364" s="3">
        <v>4.4000000000000004E-2</v>
      </c>
      <c r="M1364" t="s">
        <v>29</v>
      </c>
      <c r="N1364" t="s">
        <v>30</v>
      </c>
      <c r="O1364">
        <v>0</v>
      </c>
      <c r="P1364" s="1">
        <v>46022</v>
      </c>
      <c r="R1364" s="7"/>
      <c r="S1364" s="7"/>
    </row>
    <row r="1365" spans="1:19" x14ac:dyDescent="0.3">
      <c r="A1365" t="s">
        <v>1413</v>
      </c>
      <c r="B1365" t="s">
        <v>24</v>
      </c>
      <c r="C1365" t="s">
        <v>41</v>
      </c>
      <c r="D1365" s="5">
        <v>52683</v>
      </c>
      <c r="E1365">
        <v>45927.81</v>
      </c>
      <c r="F1365" t="s">
        <v>14</v>
      </c>
      <c r="G1365">
        <v>168</v>
      </c>
      <c r="H1365" s="1">
        <f t="shared" si="21"/>
        <v>47542</v>
      </c>
      <c r="I1365" t="s">
        <v>15</v>
      </c>
      <c r="J1365" s="1">
        <v>42426</v>
      </c>
      <c r="K1365" t="s">
        <v>22</v>
      </c>
      <c r="L1365" s="3">
        <v>4.41E-2</v>
      </c>
      <c r="M1365" t="s">
        <v>17</v>
      </c>
      <c r="N1365" t="s">
        <v>42</v>
      </c>
      <c r="O1365">
        <v>54631.7</v>
      </c>
      <c r="P1365" s="1">
        <v>46022</v>
      </c>
      <c r="R1365" s="7"/>
      <c r="S1365" s="7"/>
    </row>
    <row r="1366" spans="1:19" x14ac:dyDescent="0.3">
      <c r="A1366" t="s">
        <v>1414</v>
      </c>
      <c r="B1366" t="s">
        <v>24</v>
      </c>
      <c r="C1366" t="s">
        <v>41</v>
      </c>
      <c r="D1366" s="5">
        <v>60461</v>
      </c>
      <c r="E1366">
        <v>11344.32</v>
      </c>
      <c r="F1366" t="s">
        <v>14</v>
      </c>
      <c r="G1366">
        <v>84</v>
      </c>
      <c r="H1366" s="1">
        <f t="shared" si="21"/>
        <v>47208</v>
      </c>
      <c r="I1366" t="s">
        <v>15</v>
      </c>
      <c r="J1366" s="1">
        <v>44650</v>
      </c>
      <c r="K1366" t="s">
        <v>35</v>
      </c>
      <c r="L1366" s="3">
        <v>4.3499999999999997E-2</v>
      </c>
      <c r="M1366" t="s">
        <v>17</v>
      </c>
      <c r="N1366" t="s">
        <v>42</v>
      </c>
      <c r="O1366">
        <v>73334.320000000007</v>
      </c>
      <c r="P1366" s="1">
        <v>46022</v>
      </c>
      <c r="R1366" s="7"/>
      <c r="S1366" s="7"/>
    </row>
    <row r="1367" spans="1:19" x14ac:dyDescent="0.3">
      <c r="A1367" t="s">
        <v>1415</v>
      </c>
      <c r="B1367" t="s">
        <v>20</v>
      </c>
      <c r="C1367" t="s">
        <v>51</v>
      </c>
      <c r="D1367" s="5">
        <v>3160711</v>
      </c>
      <c r="E1367">
        <v>2325445.04</v>
      </c>
      <c r="F1367" t="s">
        <v>48</v>
      </c>
      <c r="G1367">
        <v>264</v>
      </c>
      <c r="H1367" s="1">
        <f t="shared" si="21"/>
        <v>50130</v>
      </c>
      <c r="I1367" t="s">
        <v>15</v>
      </c>
      <c r="J1367" s="1">
        <v>42072</v>
      </c>
      <c r="K1367" t="s">
        <v>56</v>
      </c>
      <c r="L1367" s="3">
        <v>3.5400000000000001E-2</v>
      </c>
      <c r="M1367" t="s">
        <v>17</v>
      </c>
      <c r="N1367" t="s">
        <v>26</v>
      </c>
      <c r="O1367">
        <v>5113695.08</v>
      </c>
      <c r="P1367" s="1">
        <v>46022</v>
      </c>
      <c r="R1367" s="7"/>
      <c r="S1367" s="7"/>
    </row>
    <row r="1368" spans="1:19" x14ac:dyDescent="0.3">
      <c r="A1368" t="s">
        <v>1416</v>
      </c>
      <c r="B1368" t="s">
        <v>12</v>
      </c>
      <c r="C1368" t="s">
        <v>61</v>
      </c>
      <c r="D1368" s="5">
        <v>34742950</v>
      </c>
      <c r="E1368">
        <v>14280103.779999999</v>
      </c>
      <c r="F1368" t="s">
        <v>48</v>
      </c>
      <c r="G1368">
        <v>180</v>
      </c>
      <c r="H1368" s="1">
        <f t="shared" si="21"/>
        <v>48334</v>
      </c>
      <c r="I1368" t="s">
        <v>15</v>
      </c>
      <c r="J1368" s="1">
        <v>42831</v>
      </c>
      <c r="K1368" t="s">
        <v>39</v>
      </c>
      <c r="L1368" s="3">
        <v>6.4199999999999993E-2</v>
      </c>
      <c r="M1368" t="s">
        <v>29</v>
      </c>
      <c r="N1368" t="s">
        <v>30</v>
      </c>
      <c r="O1368">
        <v>0</v>
      </c>
      <c r="P1368" s="1">
        <v>46022</v>
      </c>
      <c r="R1368" s="7"/>
      <c r="S1368" s="7"/>
    </row>
    <row r="1369" spans="1:19" x14ac:dyDescent="0.3">
      <c r="A1369" t="s">
        <v>1417</v>
      </c>
      <c r="B1369" t="s">
        <v>37</v>
      </c>
      <c r="C1369" t="s">
        <v>144</v>
      </c>
      <c r="D1369" s="5">
        <v>134103468</v>
      </c>
      <c r="E1369">
        <v>14253057.77</v>
      </c>
      <c r="F1369" t="s">
        <v>14</v>
      </c>
      <c r="G1369">
        <v>102</v>
      </c>
      <c r="H1369" s="1">
        <f t="shared" si="21"/>
        <v>47726</v>
      </c>
      <c r="I1369" t="s">
        <v>15</v>
      </c>
      <c r="J1369" s="1">
        <v>44620</v>
      </c>
      <c r="K1369" t="s">
        <v>22</v>
      </c>
      <c r="L1369" s="3">
        <v>5.1100000000000007E-2</v>
      </c>
      <c r="M1369" t="s">
        <v>29</v>
      </c>
      <c r="N1369" t="s">
        <v>30</v>
      </c>
      <c r="O1369">
        <v>0</v>
      </c>
      <c r="P1369" s="1">
        <v>46022</v>
      </c>
      <c r="R1369" s="7"/>
      <c r="S1369" s="7"/>
    </row>
    <row r="1370" spans="1:19" x14ac:dyDescent="0.3">
      <c r="A1370" t="s">
        <v>1418</v>
      </c>
      <c r="B1370" t="s">
        <v>24</v>
      </c>
      <c r="C1370" t="s">
        <v>32</v>
      </c>
      <c r="D1370" s="5">
        <v>1489</v>
      </c>
      <c r="E1370">
        <v>689.59</v>
      </c>
      <c r="F1370" t="s">
        <v>33</v>
      </c>
      <c r="G1370">
        <v>192</v>
      </c>
      <c r="H1370" s="1">
        <f t="shared" si="21"/>
        <v>46965</v>
      </c>
      <c r="I1370" t="s">
        <v>15</v>
      </c>
      <c r="J1370" s="1">
        <v>41113</v>
      </c>
      <c r="K1370" t="s">
        <v>39</v>
      </c>
      <c r="L1370" s="3">
        <v>5.8299999999999998E-2</v>
      </c>
      <c r="M1370" t="s">
        <v>29</v>
      </c>
      <c r="N1370" t="s">
        <v>30</v>
      </c>
      <c r="O1370">
        <v>0</v>
      </c>
      <c r="P1370" s="1">
        <v>46022</v>
      </c>
      <c r="R1370" s="7"/>
      <c r="S1370" s="7"/>
    </row>
    <row r="1371" spans="1:19" x14ac:dyDescent="0.3">
      <c r="A1371" t="s">
        <v>1419</v>
      </c>
      <c r="B1371" t="s">
        <v>24</v>
      </c>
      <c r="C1371" t="s">
        <v>28</v>
      </c>
      <c r="D1371" s="5">
        <v>36449</v>
      </c>
      <c r="E1371">
        <v>11345.73</v>
      </c>
      <c r="F1371" t="s">
        <v>33</v>
      </c>
      <c r="G1371">
        <v>276</v>
      </c>
      <c r="H1371" s="1">
        <f t="shared" si="21"/>
        <v>52962</v>
      </c>
      <c r="I1371" t="s">
        <v>15</v>
      </c>
      <c r="J1371" s="1">
        <v>44554</v>
      </c>
      <c r="K1371" t="s">
        <v>35</v>
      </c>
      <c r="L1371" s="3">
        <v>2.8300000000000002E-2</v>
      </c>
      <c r="M1371" t="s">
        <v>29</v>
      </c>
      <c r="N1371" t="s">
        <v>30</v>
      </c>
      <c r="O1371">
        <v>0</v>
      </c>
      <c r="P1371" s="1">
        <v>46022</v>
      </c>
      <c r="R1371" s="7"/>
      <c r="S1371" s="7"/>
    </row>
    <row r="1372" spans="1:19" x14ac:dyDescent="0.3">
      <c r="A1372" t="s">
        <v>1420</v>
      </c>
      <c r="B1372" t="s">
        <v>37</v>
      </c>
      <c r="C1372" t="s">
        <v>74</v>
      </c>
      <c r="D1372" s="5">
        <v>272471734</v>
      </c>
      <c r="E1372">
        <v>228054030.19999999</v>
      </c>
      <c r="F1372" t="s">
        <v>48</v>
      </c>
      <c r="G1372">
        <v>60</v>
      </c>
      <c r="H1372" s="1">
        <f t="shared" si="21"/>
        <v>44985</v>
      </c>
      <c r="I1372" t="s">
        <v>15</v>
      </c>
      <c r="J1372" s="1">
        <v>43148</v>
      </c>
      <c r="K1372" t="s">
        <v>22</v>
      </c>
      <c r="L1372" s="3">
        <v>5.4800000000000001E-2</v>
      </c>
      <c r="M1372" t="s">
        <v>29</v>
      </c>
      <c r="N1372" t="s">
        <v>30</v>
      </c>
      <c r="O1372">
        <v>0</v>
      </c>
      <c r="P1372" s="1">
        <v>46022</v>
      </c>
      <c r="R1372" s="7"/>
      <c r="S1372" s="7"/>
    </row>
    <row r="1373" spans="1:19" x14ac:dyDescent="0.3">
      <c r="A1373" t="s">
        <v>1421</v>
      </c>
      <c r="B1373" t="s">
        <v>24</v>
      </c>
      <c r="C1373" t="s">
        <v>41</v>
      </c>
      <c r="D1373" s="5">
        <v>85251</v>
      </c>
      <c r="E1373">
        <v>34406.93</v>
      </c>
      <c r="F1373" t="s">
        <v>14</v>
      </c>
      <c r="G1373">
        <v>306</v>
      </c>
      <c r="H1373" s="1">
        <f t="shared" si="21"/>
        <v>52078</v>
      </c>
      <c r="I1373" t="s">
        <v>15</v>
      </c>
      <c r="J1373" s="1">
        <v>42751</v>
      </c>
      <c r="K1373" t="s">
        <v>22</v>
      </c>
      <c r="L1373" s="3">
        <v>5.1699999999999996E-2</v>
      </c>
      <c r="M1373" t="s">
        <v>17</v>
      </c>
      <c r="N1373" t="s">
        <v>42</v>
      </c>
      <c r="O1373">
        <v>103687.06</v>
      </c>
      <c r="P1373" s="1">
        <v>46022</v>
      </c>
      <c r="R1373" s="7"/>
      <c r="S1373" s="7"/>
    </row>
    <row r="1374" spans="1:19" x14ac:dyDescent="0.3">
      <c r="A1374" t="s">
        <v>1422</v>
      </c>
      <c r="B1374" t="s">
        <v>24</v>
      </c>
      <c r="C1374" t="s">
        <v>25</v>
      </c>
      <c r="D1374" s="5">
        <v>839250</v>
      </c>
      <c r="E1374">
        <v>708973.94</v>
      </c>
      <c r="F1374" t="s">
        <v>14</v>
      </c>
      <c r="G1374">
        <v>144</v>
      </c>
      <c r="H1374" s="1">
        <f t="shared" si="21"/>
        <v>48273</v>
      </c>
      <c r="I1374" t="s">
        <v>15</v>
      </c>
      <c r="J1374" s="1">
        <v>43868</v>
      </c>
      <c r="K1374" t="s">
        <v>35</v>
      </c>
      <c r="L1374" s="3">
        <v>2.4E-2</v>
      </c>
      <c r="M1374" t="s">
        <v>17</v>
      </c>
      <c r="N1374" t="s">
        <v>26</v>
      </c>
      <c r="O1374">
        <v>1116682.53</v>
      </c>
      <c r="P1374" s="1">
        <v>46022</v>
      </c>
      <c r="R1374" s="7"/>
      <c r="S1374" s="7"/>
    </row>
    <row r="1375" spans="1:19" x14ac:dyDescent="0.3">
      <c r="A1375" t="s">
        <v>1423</v>
      </c>
      <c r="B1375" t="s">
        <v>24</v>
      </c>
      <c r="C1375" t="s">
        <v>25</v>
      </c>
      <c r="D1375" s="5">
        <v>858994</v>
      </c>
      <c r="E1375">
        <v>86361.62</v>
      </c>
      <c r="F1375" t="s">
        <v>14</v>
      </c>
      <c r="G1375">
        <v>60</v>
      </c>
      <c r="H1375" s="1">
        <f t="shared" si="21"/>
        <v>46112</v>
      </c>
      <c r="I1375" t="s">
        <v>15</v>
      </c>
      <c r="J1375" s="1">
        <v>44276</v>
      </c>
      <c r="K1375" t="s">
        <v>81</v>
      </c>
      <c r="L1375" s="3">
        <v>3.5099999999999999E-2</v>
      </c>
      <c r="M1375" t="s">
        <v>17</v>
      </c>
      <c r="N1375" t="s">
        <v>26</v>
      </c>
      <c r="O1375">
        <v>1088600.28</v>
      </c>
      <c r="P1375" s="1">
        <v>46022</v>
      </c>
      <c r="R1375" s="7"/>
      <c r="S1375" s="7"/>
    </row>
    <row r="1376" spans="1:19" x14ac:dyDescent="0.3">
      <c r="A1376" t="s">
        <v>1424</v>
      </c>
      <c r="B1376" t="s">
        <v>24</v>
      </c>
      <c r="C1376" t="s">
        <v>28</v>
      </c>
      <c r="D1376" s="5">
        <v>24770</v>
      </c>
      <c r="E1376">
        <v>9339.08</v>
      </c>
      <c r="F1376" t="s">
        <v>48</v>
      </c>
      <c r="G1376">
        <v>162</v>
      </c>
      <c r="H1376" s="1">
        <f t="shared" si="21"/>
        <v>47787</v>
      </c>
      <c r="I1376" t="s">
        <v>15</v>
      </c>
      <c r="J1376" s="1">
        <v>42852</v>
      </c>
      <c r="K1376" t="s">
        <v>35</v>
      </c>
      <c r="L1376" s="3">
        <v>3.8300000000000001E-2</v>
      </c>
      <c r="M1376" t="s">
        <v>29</v>
      </c>
      <c r="N1376" t="s">
        <v>30</v>
      </c>
      <c r="O1376">
        <v>0</v>
      </c>
      <c r="P1376" s="1">
        <v>46022</v>
      </c>
      <c r="R1376" s="7"/>
      <c r="S1376" s="7"/>
    </row>
    <row r="1377" spans="1:19" x14ac:dyDescent="0.3">
      <c r="A1377" t="s">
        <v>1425</v>
      </c>
      <c r="B1377" t="s">
        <v>24</v>
      </c>
      <c r="C1377" t="s">
        <v>32</v>
      </c>
      <c r="D1377" s="5">
        <v>17348</v>
      </c>
      <c r="E1377">
        <v>5500.09</v>
      </c>
      <c r="F1377" t="s">
        <v>33</v>
      </c>
      <c r="G1377">
        <v>108</v>
      </c>
      <c r="H1377" s="1">
        <f t="shared" si="21"/>
        <v>47542</v>
      </c>
      <c r="I1377" t="s">
        <v>15</v>
      </c>
      <c r="J1377" s="1">
        <v>44246</v>
      </c>
      <c r="K1377" t="s">
        <v>22</v>
      </c>
      <c r="L1377" s="3">
        <v>3.49E-2</v>
      </c>
      <c r="M1377" t="s">
        <v>29</v>
      </c>
      <c r="N1377" t="s">
        <v>30</v>
      </c>
      <c r="O1377">
        <v>0</v>
      </c>
      <c r="P1377" s="1">
        <v>46022</v>
      </c>
      <c r="R1377" s="7"/>
      <c r="S1377" s="7"/>
    </row>
    <row r="1378" spans="1:19" x14ac:dyDescent="0.3">
      <c r="A1378" t="s">
        <v>1426</v>
      </c>
      <c r="B1378" t="s">
        <v>24</v>
      </c>
      <c r="C1378" t="s">
        <v>28</v>
      </c>
      <c r="D1378" s="5">
        <v>39786</v>
      </c>
      <c r="E1378">
        <v>12342.15</v>
      </c>
      <c r="F1378" t="s">
        <v>14</v>
      </c>
      <c r="G1378">
        <v>144</v>
      </c>
      <c r="H1378" s="1">
        <f t="shared" si="21"/>
        <v>49399</v>
      </c>
      <c r="I1378" t="s">
        <v>15</v>
      </c>
      <c r="J1378" s="1">
        <v>45009</v>
      </c>
      <c r="K1378" t="s">
        <v>35</v>
      </c>
      <c r="L1378" s="3">
        <v>6.4500000000000002E-2</v>
      </c>
      <c r="M1378" t="s">
        <v>29</v>
      </c>
      <c r="N1378" t="s">
        <v>30</v>
      </c>
      <c r="O1378">
        <v>0</v>
      </c>
      <c r="P1378" s="1">
        <v>46022</v>
      </c>
      <c r="R1378" s="7"/>
      <c r="S1378" s="7"/>
    </row>
    <row r="1379" spans="1:19" x14ac:dyDescent="0.3">
      <c r="A1379" t="s">
        <v>1427</v>
      </c>
      <c r="B1379" t="s">
        <v>37</v>
      </c>
      <c r="C1379" t="s">
        <v>144</v>
      </c>
      <c r="D1379" s="5">
        <v>231134115</v>
      </c>
      <c r="E1379" s="4">
        <v>37297640.170000002</v>
      </c>
      <c r="F1379" t="s">
        <v>14</v>
      </c>
      <c r="G1379">
        <v>222</v>
      </c>
      <c r="H1379" s="1">
        <f t="shared" si="21"/>
        <v>48579</v>
      </c>
      <c r="I1379" t="s">
        <v>15</v>
      </c>
      <c r="J1379" s="1">
        <v>41814</v>
      </c>
      <c r="K1379" t="s">
        <v>81</v>
      </c>
      <c r="L1379" s="3">
        <v>0.15</v>
      </c>
      <c r="M1379" t="s">
        <v>29</v>
      </c>
      <c r="N1379" t="s">
        <v>30</v>
      </c>
      <c r="O1379">
        <v>0</v>
      </c>
      <c r="P1379" s="1">
        <v>46022</v>
      </c>
      <c r="R1379" s="7"/>
      <c r="S1379" s="7"/>
    </row>
    <row r="1380" spans="1:19" x14ac:dyDescent="0.3">
      <c r="A1380" t="s">
        <v>1428</v>
      </c>
      <c r="B1380" t="s">
        <v>37</v>
      </c>
      <c r="C1380" t="s">
        <v>74</v>
      </c>
      <c r="D1380" s="5">
        <v>99886676</v>
      </c>
      <c r="E1380">
        <v>26810766.899999999</v>
      </c>
      <c r="F1380" t="s">
        <v>48</v>
      </c>
      <c r="G1380">
        <v>336</v>
      </c>
      <c r="H1380" s="1">
        <f t="shared" si="21"/>
        <v>54847</v>
      </c>
      <c r="I1380" t="s">
        <v>15</v>
      </c>
      <c r="J1380" s="1">
        <v>44603</v>
      </c>
      <c r="K1380" t="s">
        <v>22</v>
      </c>
      <c r="L1380" s="3">
        <v>5.74E-2</v>
      </c>
      <c r="M1380" t="s">
        <v>17</v>
      </c>
      <c r="N1380" t="s">
        <v>42</v>
      </c>
      <c r="O1380">
        <v>167419164.5</v>
      </c>
      <c r="P1380" s="1">
        <v>46022</v>
      </c>
      <c r="R1380" s="7"/>
      <c r="S1380" s="7"/>
    </row>
    <row r="1381" spans="1:19" x14ac:dyDescent="0.3">
      <c r="A1381" t="s">
        <v>1429</v>
      </c>
      <c r="B1381" t="s">
        <v>37</v>
      </c>
      <c r="C1381" t="s">
        <v>38</v>
      </c>
      <c r="D1381" s="5">
        <v>428937270</v>
      </c>
      <c r="E1381">
        <v>257360051</v>
      </c>
      <c r="F1381" t="s">
        <v>14</v>
      </c>
      <c r="G1381">
        <v>144</v>
      </c>
      <c r="H1381" s="1">
        <f t="shared" si="21"/>
        <v>47573</v>
      </c>
      <c r="I1381" t="s">
        <v>15</v>
      </c>
      <c r="J1381" s="1">
        <v>43188</v>
      </c>
      <c r="K1381" t="s">
        <v>35</v>
      </c>
      <c r="L1381" s="3">
        <v>5.0900000000000001E-2</v>
      </c>
      <c r="M1381" t="s">
        <v>17</v>
      </c>
      <c r="N1381" t="s">
        <v>18</v>
      </c>
      <c r="O1381">
        <v>682787390.89999998</v>
      </c>
      <c r="P1381" s="1">
        <v>46022</v>
      </c>
      <c r="R1381" s="7"/>
      <c r="S1381" s="7"/>
    </row>
    <row r="1382" spans="1:19" x14ac:dyDescent="0.3">
      <c r="A1382" t="s">
        <v>1430</v>
      </c>
      <c r="B1382" t="s">
        <v>24</v>
      </c>
      <c r="C1382" t="s">
        <v>41</v>
      </c>
      <c r="D1382" s="5">
        <v>89430</v>
      </c>
      <c r="E1382">
        <v>32393.919999999998</v>
      </c>
      <c r="F1382" t="s">
        <v>14</v>
      </c>
      <c r="G1382">
        <v>228</v>
      </c>
      <c r="H1382" s="1">
        <f t="shared" si="21"/>
        <v>49309</v>
      </c>
      <c r="I1382" t="s">
        <v>15</v>
      </c>
      <c r="J1382" s="1">
        <v>42362</v>
      </c>
      <c r="K1382" t="s">
        <v>35</v>
      </c>
      <c r="L1382" s="3">
        <v>3.9199999999999999E-2</v>
      </c>
      <c r="M1382" t="s">
        <v>17</v>
      </c>
      <c r="N1382" t="s">
        <v>42</v>
      </c>
      <c r="O1382">
        <v>110769.52</v>
      </c>
      <c r="P1382" s="1">
        <v>46022</v>
      </c>
      <c r="R1382" s="7"/>
      <c r="S1382" s="7"/>
    </row>
    <row r="1383" spans="1:19" x14ac:dyDescent="0.3">
      <c r="A1383" t="s">
        <v>1431</v>
      </c>
      <c r="B1383" t="s">
        <v>24</v>
      </c>
      <c r="C1383" t="s">
        <v>32</v>
      </c>
      <c r="D1383" s="5">
        <v>23849</v>
      </c>
      <c r="E1383">
        <v>11343.99</v>
      </c>
      <c r="F1383" t="s">
        <v>33</v>
      </c>
      <c r="G1383">
        <v>204</v>
      </c>
      <c r="H1383" s="1">
        <f t="shared" si="21"/>
        <v>46783</v>
      </c>
      <c r="I1383" t="s">
        <v>15</v>
      </c>
      <c r="J1383" s="1">
        <v>40562</v>
      </c>
      <c r="K1383" t="s">
        <v>22</v>
      </c>
      <c r="L1383" s="3">
        <v>5.2000000000000005E-2</v>
      </c>
      <c r="M1383" t="s">
        <v>29</v>
      </c>
      <c r="N1383" t="s">
        <v>30</v>
      </c>
      <c r="O1383">
        <v>0</v>
      </c>
      <c r="P1383" s="1">
        <v>46022</v>
      </c>
      <c r="R1383" s="7"/>
      <c r="S1383" s="7"/>
    </row>
    <row r="1384" spans="1:19" x14ac:dyDescent="0.3">
      <c r="A1384" t="s">
        <v>1432</v>
      </c>
      <c r="B1384" t="s">
        <v>24</v>
      </c>
      <c r="C1384" t="s">
        <v>25</v>
      </c>
      <c r="D1384" s="5">
        <v>168130</v>
      </c>
      <c r="E1384">
        <v>73839.259999999995</v>
      </c>
      <c r="F1384" t="s">
        <v>14</v>
      </c>
      <c r="G1384">
        <v>240</v>
      </c>
      <c r="H1384" s="1">
        <f t="shared" si="21"/>
        <v>50739</v>
      </c>
      <c r="I1384" t="s">
        <v>15</v>
      </c>
      <c r="J1384" s="1">
        <v>43424</v>
      </c>
      <c r="K1384" t="s">
        <v>56</v>
      </c>
      <c r="L1384" s="3">
        <v>3.6299999999999999E-2</v>
      </c>
      <c r="M1384" t="s">
        <v>17</v>
      </c>
      <c r="N1384" t="s">
        <v>26</v>
      </c>
      <c r="O1384">
        <v>201196.39</v>
      </c>
      <c r="P1384" s="1">
        <v>46022</v>
      </c>
      <c r="R1384" s="7"/>
      <c r="S1384" s="7"/>
    </row>
    <row r="1385" spans="1:19" x14ac:dyDescent="0.3">
      <c r="A1385" t="s">
        <v>1433</v>
      </c>
      <c r="B1385" t="s">
        <v>37</v>
      </c>
      <c r="C1385" t="s">
        <v>74</v>
      </c>
      <c r="D1385" s="5">
        <v>200034784</v>
      </c>
      <c r="E1385">
        <v>177693785.69999999</v>
      </c>
      <c r="F1385" t="s">
        <v>48</v>
      </c>
      <c r="G1385">
        <v>282</v>
      </c>
      <c r="H1385" s="1">
        <f t="shared" si="21"/>
        <v>50464</v>
      </c>
      <c r="I1385" t="s">
        <v>15</v>
      </c>
      <c r="J1385" s="1">
        <v>41876</v>
      </c>
      <c r="K1385" t="s">
        <v>16</v>
      </c>
      <c r="L1385" s="3">
        <v>0.09</v>
      </c>
      <c r="M1385" t="s">
        <v>29</v>
      </c>
      <c r="N1385" t="s">
        <v>30</v>
      </c>
      <c r="O1385">
        <v>0</v>
      </c>
      <c r="P1385" s="1">
        <v>46022</v>
      </c>
      <c r="R1385" s="7"/>
      <c r="S1385" s="7"/>
    </row>
    <row r="1386" spans="1:19" x14ac:dyDescent="0.3">
      <c r="A1386" t="s">
        <v>1434</v>
      </c>
      <c r="B1386" t="s">
        <v>24</v>
      </c>
      <c r="C1386" t="s">
        <v>32</v>
      </c>
      <c r="D1386" s="5">
        <v>40373</v>
      </c>
      <c r="E1386" s="4">
        <v>36932.29</v>
      </c>
      <c r="F1386" t="s">
        <v>33</v>
      </c>
      <c r="G1386">
        <v>90</v>
      </c>
      <c r="H1386" s="1">
        <f t="shared" si="21"/>
        <v>46721</v>
      </c>
      <c r="I1386" t="s">
        <v>15</v>
      </c>
      <c r="J1386" s="1">
        <v>43966</v>
      </c>
      <c r="K1386" t="s">
        <v>101</v>
      </c>
      <c r="L1386" s="3">
        <v>0.126</v>
      </c>
      <c r="M1386" t="s">
        <v>29</v>
      </c>
      <c r="N1386" t="s">
        <v>30</v>
      </c>
      <c r="O1386">
        <v>0</v>
      </c>
      <c r="P1386" s="1">
        <v>46022</v>
      </c>
      <c r="R1386" s="7"/>
      <c r="S1386" s="7"/>
    </row>
    <row r="1387" spans="1:19" x14ac:dyDescent="0.3">
      <c r="A1387" t="s">
        <v>1435</v>
      </c>
      <c r="B1387" t="s">
        <v>37</v>
      </c>
      <c r="C1387" t="s">
        <v>78</v>
      </c>
      <c r="D1387" s="5">
        <v>451869274</v>
      </c>
      <c r="E1387">
        <v>245663825.40000001</v>
      </c>
      <c r="F1387" t="s">
        <v>33</v>
      </c>
      <c r="G1387">
        <v>66</v>
      </c>
      <c r="H1387" s="1">
        <f t="shared" si="21"/>
        <v>46996</v>
      </c>
      <c r="I1387" t="s">
        <v>15</v>
      </c>
      <c r="J1387" s="1">
        <v>44973</v>
      </c>
      <c r="K1387" t="s">
        <v>35</v>
      </c>
      <c r="L1387" s="3">
        <v>6.1100000000000002E-2</v>
      </c>
      <c r="M1387" t="s">
        <v>17</v>
      </c>
      <c r="N1387" t="s">
        <v>42</v>
      </c>
      <c r="O1387">
        <v>612336394.70000005</v>
      </c>
      <c r="P1387" s="1">
        <v>46022</v>
      </c>
      <c r="R1387" s="7"/>
      <c r="S1387" s="7"/>
    </row>
    <row r="1388" spans="1:19" x14ac:dyDescent="0.3">
      <c r="A1388" t="s">
        <v>1436</v>
      </c>
      <c r="B1388" t="s">
        <v>24</v>
      </c>
      <c r="C1388" t="s">
        <v>25</v>
      </c>
      <c r="D1388" s="5">
        <v>283125</v>
      </c>
      <c r="E1388">
        <v>112440.55</v>
      </c>
      <c r="F1388" t="s">
        <v>14</v>
      </c>
      <c r="G1388">
        <v>132</v>
      </c>
      <c r="H1388" s="1">
        <f t="shared" si="21"/>
        <v>46783</v>
      </c>
      <c r="I1388" t="s">
        <v>15</v>
      </c>
      <c r="J1388" s="1">
        <v>42737</v>
      </c>
      <c r="K1388" t="s">
        <v>22</v>
      </c>
      <c r="L1388" s="3">
        <v>4.7699999999999992E-2</v>
      </c>
      <c r="M1388" t="s">
        <v>17</v>
      </c>
      <c r="N1388" t="s">
        <v>26</v>
      </c>
      <c r="O1388">
        <v>344580.23</v>
      </c>
      <c r="P1388" s="1">
        <v>46022</v>
      </c>
      <c r="R1388" s="7"/>
      <c r="S1388" s="7"/>
    </row>
    <row r="1389" spans="1:19" x14ac:dyDescent="0.3">
      <c r="A1389" t="s">
        <v>1437</v>
      </c>
      <c r="B1389" t="s">
        <v>24</v>
      </c>
      <c r="C1389" t="s">
        <v>28</v>
      </c>
      <c r="D1389" s="5">
        <v>4282</v>
      </c>
      <c r="E1389">
        <v>839.73</v>
      </c>
      <c r="F1389" t="s">
        <v>14</v>
      </c>
      <c r="G1389">
        <v>324</v>
      </c>
      <c r="H1389" s="1">
        <f t="shared" si="21"/>
        <v>53965</v>
      </c>
      <c r="I1389" t="s">
        <v>15</v>
      </c>
      <c r="J1389" s="1">
        <v>44075</v>
      </c>
      <c r="K1389" t="s">
        <v>56</v>
      </c>
      <c r="L1389" s="3">
        <v>1.9799999999999998E-2</v>
      </c>
      <c r="M1389" t="s">
        <v>29</v>
      </c>
      <c r="N1389" t="s">
        <v>30</v>
      </c>
      <c r="O1389">
        <v>0</v>
      </c>
      <c r="P1389" s="1">
        <v>46022</v>
      </c>
      <c r="R1389" s="7"/>
      <c r="S1389" s="7"/>
    </row>
    <row r="1390" spans="1:19" x14ac:dyDescent="0.3">
      <c r="A1390" t="s">
        <v>1438</v>
      </c>
      <c r="B1390" t="s">
        <v>24</v>
      </c>
      <c r="C1390" t="s">
        <v>32</v>
      </c>
      <c r="D1390" s="5">
        <v>43990</v>
      </c>
      <c r="E1390">
        <v>42145.34</v>
      </c>
      <c r="F1390" t="s">
        <v>33</v>
      </c>
      <c r="G1390">
        <v>144</v>
      </c>
      <c r="H1390" s="1">
        <f t="shared" si="21"/>
        <v>48426</v>
      </c>
      <c r="I1390" t="s">
        <v>15</v>
      </c>
      <c r="J1390" s="1">
        <v>44014</v>
      </c>
      <c r="K1390" t="s">
        <v>39</v>
      </c>
      <c r="L1390" s="3">
        <v>5.67E-2</v>
      </c>
      <c r="M1390" t="s">
        <v>29</v>
      </c>
      <c r="N1390" t="s">
        <v>30</v>
      </c>
      <c r="O1390">
        <v>0</v>
      </c>
      <c r="P1390" s="1">
        <v>46022</v>
      </c>
      <c r="R1390" s="7"/>
      <c r="S1390" s="7"/>
    </row>
    <row r="1391" spans="1:19" x14ac:dyDescent="0.3">
      <c r="A1391" t="s">
        <v>1439</v>
      </c>
      <c r="B1391" t="s">
        <v>24</v>
      </c>
      <c r="C1391" t="s">
        <v>41</v>
      </c>
      <c r="D1391" s="5">
        <v>45046</v>
      </c>
      <c r="E1391">
        <v>6946.35</v>
      </c>
      <c r="F1391" t="s">
        <v>14</v>
      </c>
      <c r="G1391">
        <v>60</v>
      </c>
      <c r="H1391" s="1">
        <f t="shared" si="21"/>
        <v>45107</v>
      </c>
      <c r="I1391" t="s">
        <v>15</v>
      </c>
      <c r="J1391" s="1">
        <v>43271</v>
      </c>
      <c r="K1391" t="s">
        <v>22</v>
      </c>
      <c r="L1391" s="3">
        <v>5.2499999999999998E-2</v>
      </c>
      <c r="M1391" t="s">
        <v>17</v>
      </c>
      <c r="N1391" t="s">
        <v>42</v>
      </c>
      <c r="O1391">
        <v>54814.74</v>
      </c>
      <c r="P1391" s="1">
        <v>46022</v>
      </c>
      <c r="R1391" s="7"/>
      <c r="S1391" s="7"/>
    </row>
    <row r="1392" spans="1:19" x14ac:dyDescent="0.3">
      <c r="A1392" t="s">
        <v>1440</v>
      </c>
      <c r="B1392" t="s">
        <v>24</v>
      </c>
      <c r="C1392" t="s">
        <v>28</v>
      </c>
      <c r="D1392" s="5">
        <v>27546</v>
      </c>
      <c r="E1392">
        <v>10133.870000000001</v>
      </c>
      <c r="F1392" t="s">
        <v>33</v>
      </c>
      <c r="G1392">
        <v>108</v>
      </c>
      <c r="H1392" s="1">
        <f t="shared" si="21"/>
        <v>45077</v>
      </c>
      <c r="I1392" t="s">
        <v>15</v>
      </c>
      <c r="J1392" s="1">
        <v>41771</v>
      </c>
      <c r="K1392" t="s">
        <v>22</v>
      </c>
      <c r="L1392" s="3">
        <v>5.4400000000000004E-2</v>
      </c>
      <c r="M1392" t="s">
        <v>29</v>
      </c>
      <c r="N1392" t="s">
        <v>30</v>
      </c>
      <c r="O1392">
        <v>0</v>
      </c>
      <c r="P1392" s="1">
        <v>46022</v>
      </c>
      <c r="R1392" s="7"/>
      <c r="S1392" s="7"/>
    </row>
    <row r="1393" spans="1:19" x14ac:dyDescent="0.3">
      <c r="A1393" t="s">
        <v>1441</v>
      </c>
      <c r="B1393" t="s">
        <v>24</v>
      </c>
      <c r="C1393" t="s">
        <v>41</v>
      </c>
      <c r="D1393" s="5">
        <v>97126</v>
      </c>
      <c r="E1393">
        <v>35767.550000000003</v>
      </c>
      <c r="F1393" t="s">
        <v>14</v>
      </c>
      <c r="G1393">
        <v>264</v>
      </c>
      <c r="H1393" s="1">
        <f t="shared" si="21"/>
        <v>48669</v>
      </c>
      <c r="I1393" t="s">
        <v>15</v>
      </c>
      <c r="J1393" s="1">
        <v>40616</v>
      </c>
      <c r="K1393" t="s">
        <v>35</v>
      </c>
      <c r="L1393" s="3">
        <v>4.1500000000000002E-2</v>
      </c>
      <c r="M1393" t="s">
        <v>17</v>
      </c>
      <c r="N1393" t="s">
        <v>42</v>
      </c>
      <c r="O1393">
        <v>114246.12</v>
      </c>
      <c r="P1393" s="1">
        <v>46022</v>
      </c>
      <c r="R1393" s="7"/>
      <c r="S1393" s="7"/>
    </row>
    <row r="1394" spans="1:19" x14ac:dyDescent="0.3">
      <c r="A1394" t="s">
        <v>1442</v>
      </c>
      <c r="B1394" t="s">
        <v>12</v>
      </c>
      <c r="C1394" t="s">
        <v>26</v>
      </c>
      <c r="D1394" s="5">
        <v>4261672</v>
      </c>
      <c r="E1394">
        <v>1655067.74</v>
      </c>
      <c r="F1394" t="s">
        <v>33</v>
      </c>
      <c r="G1394">
        <v>72</v>
      </c>
      <c r="H1394" s="1">
        <f t="shared" si="21"/>
        <v>47848</v>
      </c>
      <c r="I1394" t="s">
        <v>15</v>
      </c>
      <c r="J1394" s="1">
        <v>45631</v>
      </c>
      <c r="K1394" t="s">
        <v>39</v>
      </c>
      <c r="L1394" s="3">
        <v>8.5099999999999995E-2</v>
      </c>
      <c r="M1394" t="s">
        <v>17</v>
      </c>
      <c r="N1394" t="s">
        <v>54</v>
      </c>
      <c r="O1394">
        <v>5615198.1799999997</v>
      </c>
      <c r="P1394" s="1">
        <v>46022</v>
      </c>
      <c r="R1394" s="7"/>
      <c r="S1394" s="7"/>
    </row>
    <row r="1395" spans="1:19" x14ac:dyDescent="0.3">
      <c r="A1395" t="s">
        <v>1443</v>
      </c>
      <c r="B1395" t="s">
        <v>37</v>
      </c>
      <c r="C1395" t="s">
        <v>74</v>
      </c>
      <c r="D1395" s="5">
        <v>327675824</v>
      </c>
      <c r="E1395">
        <v>81217126.379999995</v>
      </c>
      <c r="F1395" t="s">
        <v>33</v>
      </c>
      <c r="G1395">
        <v>342</v>
      </c>
      <c r="H1395" s="1">
        <f t="shared" si="21"/>
        <v>52474</v>
      </c>
      <c r="I1395" t="s">
        <v>15</v>
      </c>
      <c r="J1395" s="1">
        <v>42041</v>
      </c>
      <c r="K1395" t="s">
        <v>22</v>
      </c>
      <c r="L1395" s="3">
        <v>4.7599999999999996E-2</v>
      </c>
      <c r="M1395" t="s">
        <v>17</v>
      </c>
      <c r="N1395" t="s">
        <v>54</v>
      </c>
      <c r="O1395">
        <v>508048010.10000002</v>
      </c>
      <c r="P1395" s="1">
        <v>46022</v>
      </c>
      <c r="R1395" s="7"/>
      <c r="S1395" s="7"/>
    </row>
    <row r="1396" spans="1:19" x14ac:dyDescent="0.3">
      <c r="A1396" t="s">
        <v>1444</v>
      </c>
      <c r="B1396" t="s">
        <v>24</v>
      </c>
      <c r="C1396" t="s">
        <v>41</v>
      </c>
      <c r="D1396" s="5">
        <v>16669</v>
      </c>
      <c r="E1396">
        <v>13416.36</v>
      </c>
      <c r="F1396" t="s">
        <v>14</v>
      </c>
      <c r="G1396">
        <v>258</v>
      </c>
      <c r="H1396" s="1">
        <f t="shared" si="21"/>
        <v>50525</v>
      </c>
      <c r="I1396" t="s">
        <v>15</v>
      </c>
      <c r="J1396" s="1">
        <v>42649</v>
      </c>
      <c r="K1396" t="s">
        <v>35</v>
      </c>
      <c r="L1396" s="3">
        <v>3.0899999999999997E-2</v>
      </c>
      <c r="M1396" t="s">
        <v>17</v>
      </c>
      <c r="N1396" t="s">
        <v>42</v>
      </c>
      <c r="O1396">
        <v>20607.310000000001</v>
      </c>
      <c r="P1396" s="1">
        <v>46022</v>
      </c>
      <c r="R1396" s="7"/>
      <c r="S1396" s="7"/>
    </row>
    <row r="1397" spans="1:19" x14ac:dyDescent="0.3">
      <c r="A1397" t="s">
        <v>1445</v>
      </c>
      <c r="B1397" t="s">
        <v>12</v>
      </c>
      <c r="C1397" t="s">
        <v>61</v>
      </c>
      <c r="D1397" s="5">
        <v>19397977</v>
      </c>
      <c r="E1397">
        <v>4078387.44</v>
      </c>
      <c r="F1397" t="s">
        <v>48</v>
      </c>
      <c r="G1397">
        <v>168</v>
      </c>
      <c r="H1397" s="1">
        <f t="shared" si="21"/>
        <v>48913</v>
      </c>
      <c r="I1397" t="s">
        <v>15</v>
      </c>
      <c r="J1397" s="1">
        <v>43776</v>
      </c>
      <c r="K1397" t="s">
        <v>39</v>
      </c>
      <c r="L1397" s="3">
        <v>6.3500000000000001E-2</v>
      </c>
      <c r="M1397" t="s">
        <v>17</v>
      </c>
      <c r="N1397" t="s">
        <v>18</v>
      </c>
      <c r="O1397">
        <v>28321388.84</v>
      </c>
      <c r="P1397" s="1">
        <v>46022</v>
      </c>
      <c r="R1397" s="7"/>
      <c r="S1397" s="7"/>
    </row>
    <row r="1398" spans="1:19" x14ac:dyDescent="0.3">
      <c r="A1398" t="s">
        <v>1446</v>
      </c>
      <c r="B1398" t="s">
        <v>20</v>
      </c>
      <c r="C1398" t="s">
        <v>21</v>
      </c>
      <c r="D1398" s="5">
        <v>4028882</v>
      </c>
      <c r="E1398">
        <v>2705055.81</v>
      </c>
      <c r="F1398" t="s">
        <v>33</v>
      </c>
      <c r="G1398">
        <v>240</v>
      </c>
      <c r="H1398" s="1">
        <f t="shared" si="21"/>
        <v>52351</v>
      </c>
      <c r="I1398" t="s">
        <v>15</v>
      </c>
      <c r="J1398" s="1">
        <v>45035</v>
      </c>
      <c r="K1398" t="s">
        <v>22</v>
      </c>
      <c r="L1398" s="3">
        <v>7.3300000000000004E-2</v>
      </c>
      <c r="M1398" t="s">
        <v>17</v>
      </c>
      <c r="N1398" t="s">
        <v>42</v>
      </c>
      <c r="O1398">
        <v>6522858.6200000001</v>
      </c>
      <c r="P1398" s="1">
        <v>46022</v>
      </c>
      <c r="R1398" s="7"/>
      <c r="S1398" s="7"/>
    </row>
    <row r="1399" spans="1:19" x14ac:dyDescent="0.3">
      <c r="A1399" t="s">
        <v>1447</v>
      </c>
      <c r="B1399" t="s">
        <v>24</v>
      </c>
      <c r="C1399" t="s">
        <v>28</v>
      </c>
      <c r="D1399" s="5">
        <v>22240</v>
      </c>
      <c r="E1399">
        <v>4702.93</v>
      </c>
      <c r="F1399" t="s">
        <v>33</v>
      </c>
      <c r="G1399">
        <v>360</v>
      </c>
      <c r="H1399" s="1">
        <f t="shared" si="21"/>
        <v>51621</v>
      </c>
      <c r="I1399" t="s">
        <v>15</v>
      </c>
      <c r="J1399" s="1">
        <v>40654</v>
      </c>
      <c r="K1399" t="s">
        <v>16</v>
      </c>
      <c r="L1399" s="3">
        <v>9.8699999999999996E-2</v>
      </c>
      <c r="M1399" t="s">
        <v>29</v>
      </c>
      <c r="N1399" t="s">
        <v>30</v>
      </c>
      <c r="O1399">
        <v>0</v>
      </c>
      <c r="P1399" s="1">
        <v>46022</v>
      </c>
      <c r="R1399" s="7"/>
      <c r="S1399" s="7"/>
    </row>
    <row r="1400" spans="1:19" x14ac:dyDescent="0.3">
      <c r="A1400" t="s">
        <v>1448</v>
      </c>
      <c r="B1400" t="s">
        <v>24</v>
      </c>
      <c r="C1400" t="s">
        <v>25</v>
      </c>
      <c r="D1400" s="5">
        <v>997464</v>
      </c>
      <c r="E1400">
        <v>163067.5</v>
      </c>
      <c r="F1400" t="s">
        <v>14</v>
      </c>
      <c r="G1400">
        <v>60</v>
      </c>
      <c r="H1400" s="1">
        <f t="shared" si="21"/>
        <v>45747</v>
      </c>
      <c r="I1400" t="s">
        <v>15</v>
      </c>
      <c r="J1400" s="1">
        <v>43899</v>
      </c>
      <c r="K1400" t="s">
        <v>35</v>
      </c>
      <c r="L1400" s="3">
        <v>2.3099999999999999E-2</v>
      </c>
      <c r="M1400" t="s">
        <v>17</v>
      </c>
      <c r="N1400" t="s">
        <v>26</v>
      </c>
      <c r="O1400">
        <v>1340410.47</v>
      </c>
      <c r="P1400" s="1">
        <v>46022</v>
      </c>
      <c r="R1400" s="7"/>
      <c r="S1400" s="7"/>
    </row>
    <row r="1401" spans="1:19" x14ac:dyDescent="0.3">
      <c r="A1401" t="s">
        <v>1449</v>
      </c>
      <c r="B1401" t="s">
        <v>24</v>
      </c>
      <c r="C1401" t="s">
        <v>28</v>
      </c>
      <c r="D1401" s="5">
        <v>28394</v>
      </c>
      <c r="E1401">
        <v>26079.42</v>
      </c>
      <c r="F1401" t="s">
        <v>33</v>
      </c>
      <c r="G1401">
        <v>138</v>
      </c>
      <c r="H1401" s="1">
        <f t="shared" si="21"/>
        <v>46234</v>
      </c>
      <c r="I1401" t="s">
        <v>15</v>
      </c>
      <c r="J1401" s="1">
        <v>42019</v>
      </c>
      <c r="K1401" t="s">
        <v>39</v>
      </c>
      <c r="L1401" s="3">
        <v>7.6399999999999996E-2</v>
      </c>
      <c r="M1401" t="s">
        <v>29</v>
      </c>
      <c r="N1401" t="s">
        <v>30</v>
      </c>
      <c r="O1401">
        <v>0</v>
      </c>
      <c r="P1401" s="1">
        <v>46022</v>
      </c>
      <c r="R1401" s="7"/>
      <c r="S1401" s="7"/>
    </row>
    <row r="1402" spans="1:19" x14ac:dyDescent="0.3">
      <c r="A1402" t="s">
        <v>1450</v>
      </c>
      <c r="B1402" t="s">
        <v>12</v>
      </c>
      <c r="C1402" t="s">
        <v>61</v>
      </c>
      <c r="D1402" s="5">
        <v>16736945</v>
      </c>
      <c r="E1402">
        <v>4537651.8600000003</v>
      </c>
      <c r="F1402" t="s">
        <v>48</v>
      </c>
      <c r="G1402">
        <v>126</v>
      </c>
      <c r="H1402" s="1">
        <f t="shared" si="21"/>
        <v>45565</v>
      </c>
      <c r="I1402" t="s">
        <v>15</v>
      </c>
      <c r="J1402" s="1">
        <v>41709</v>
      </c>
      <c r="K1402" t="s">
        <v>39</v>
      </c>
      <c r="L1402" s="3">
        <v>7.7100000000000002E-2</v>
      </c>
      <c r="M1402" t="s">
        <v>17</v>
      </c>
      <c r="N1402" t="s">
        <v>18</v>
      </c>
      <c r="O1402">
        <v>28222773.199999999</v>
      </c>
      <c r="P1402" s="1">
        <v>46022</v>
      </c>
      <c r="R1402" s="7"/>
      <c r="S1402" s="7"/>
    </row>
    <row r="1403" spans="1:19" x14ac:dyDescent="0.3">
      <c r="A1403" t="s">
        <v>1451</v>
      </c>
      <c r="B1403" t="s">
        <v>37</v>
      </c>
      <c r="C1403" t="s">
        <v>38</v>
      </c>
      <c r="D1403" s="5">
        <v>117854550</v>
      </c>
      <c r="E1403">
        <v>98894715.400000006</v>
      </c>
      <c r="F1403" t="s">
        <v>33</v>
      </c>
      <c r="G1403">
        <v>204</v>
      </c>
      <c r="H1403" s="1">
        <f t="shared" si="21"/>
        <v>48548</v>
      </c>
      <c r="I1403" t="s">
        <v>15</v>
      </c>
      <c r="J1403" s="1">
        <v>42314</v>
      </c>
      <c r="K1403" t="s">
        <v>35</v>
      </c>
      <c r="L1403" s="3">
        <v>3.7699999999999997E-2</v>
      </c>
      <c r="M1403" t="s">
        <v>29</v>
      </c>
      <c r="N1403" t="s">
        <v>30</v>
      </c>
      <c r="O1403">
        <v>0</v>
      </c>
      <c r="P1403" s="1">
        <v>46022</v>
      </c>
      <c r="R1403" s="7"/>
      <c r="S1403" s="7"/>
    </row>
    <row r="1404" spans="1:19" x14ac:dyDescent="0.3">
      <c r="A1404" t="s">
        <v>1452</v>
      </c>
      <c r="B1404" t="s">
        <v>24</v>
      </c>
      <c r="C1404" t="s">
        <v>41</v>
      </c>
      <c r="D1404" s="5">
        <v>41547</v>
      </c>
      <c r="E1404">
        <v>24519.61</v>
      </c>
      <c r="F1404" t="s">
        <v>14</v>
      </c>
      <c r="G1404">
        <v>66</v>
      </c>
      <c r="H1404" s="1">
        <f t="shared" si="21"/>
        <v>45991</v>
      </c>
      <c r="I1404" t="s">
        <v>15</v>
      </c>
      <c r="J1404" s="1">
        <v>43959</v>
      </c>
      <c r="K1404" t="s">
        <v>39</v>
      </c>
      <c r="L1404" s="3">
        <v>5.1900000000000002E-2</v>
      </c>
      <c r="M1404" t="s">
        <v>17</v>
      </c>
      <c r="N1404" t="s">
        <v>42</v>
      </c>
      <c r="O1404">
        <v>44192.15</v>
      </c>
      <c r="P1404" s="1">
        <v>46022</v>
      </c>
      <c r="R1404" s="7"/>
      <c r="S1404" s="7"/>
    </row>
    <row r="1405" spans="1:19" x14ac:dyDescent="0.3">
      <c r="A1405" t="s">
        <v>1453</v>
      </c>
      <c r="B1405" t="s">
        <v>24</v>
      </c>
      <c r="C1405" t="s">
        <v>25</v>
      </c>
      <c r="D1405" s="5">
        <v>435280</v>
      </c>
      <c r="E1405">
        <v>74028.44</v>
      </c>
      <c r="F1405" t="s">
        <v>14</v>
      </c>
      <c r="G1405">
        <v>132</v>
      </c>
      <c r="H1405" s="1">
        <f t="shared" si="21"/>
        <v>46112</v>
      </c>
      <c r="I1405" t="s">
        <v>15</v>
      </c>
      <c r="J1405" s="1">
        <v>42082</v>
      </c>
      <c r="K1405" t="s">
        <v>22</v>
      </c>
      <c r="L1405" s="3">
        <v>4.3499999999999997E-2</v>
      </c>
      <c r="M1405" t="s">
        <v>17</v>
      </c>
      <c r="N1405" t="s">
        <v>26</v>
      </c>
      <c r="O1405">
        <v>589292.46</v>
      </c>
      <c r="P1405" s="1">
        <v>46022</v>
      </c>
      <c r="R1405" s="7"/>
      <c r="S1405" s="7"/>
    </row>
    <row r="1406" spans="1:19" x14ac:dyDescent="0.3">
      <c r="A1406" t="s">
        <v>1454</v>
      </c>
      <c r="B1406" t="s">
        <v>24</v>
      </c>
      <c r="C1406" t="s">
        <v>28</v>
      </c>
      <c r="D1406" s="5">
        <v>4367</v>
      </c>
      <c r="E1406">
        <v>4191.87</v>
      </c>
      <c r="F1406" t="s">
        <v>33</v>
      </c>
      <c r="G1406">
        <v>252</v>
      </c>
      <c r="H1406" s="1">
        <f t="shared" si="21"/>
        <v>48883</v>
      </c>
      <c r="I1406" t="s">
        <v>15</v>
      </c>
      <c r="J1406" s="1">
        <v>41208</v>
      </c>
      <c r="K1406" t="s">
        <v>16</v>
      </c>
      <c r="L1406" s="3">
        <v>8.4700000000000011E-2</v>
      </c>
      <c r="M1406" t="s">
        <v>29</v>
      </c>
      <c r="N1406" t="s">
        <v>30</v>
      </c>
      <c r="O1406">
        <v>0</v>
      </c>
      <c r="P1406" s="1">
        <v>46022</v>
      </c>
      <c r="R1406" s="7"/>
      <c r="S1406" s="7"/>
    </row>
    <row r="1407" spans="1:19" x14ac:dyDescent="0.3">
      <c r="A1407" t="s">
        <v>1455</v>
      </c>
      <c r="B1407" t="s">
        <v>24</v>
      </c>
      <c r="C1407" t="s">
        <v>25</v>
      </c>
      <c r="D1407" s="5">
        <v>432617</v>
      </c>
      <c r="E1407">
        <v>139417.26999999999</v>
      </c>
      <c r="F1407" t="s">
        <v>14</v>
      </c>
      <c r="G1407">
        <v>210</v>
      </c>
      <c r="H1407" s="1">
        <f t="shared" si="21"/>
        <v>51744</v>
      </c>
      <c r="I1407" t="s">
        <v>15</v>
      </c>
      <c r="J1407" s="1">
        <v>45330</v>
      </c>
      <c r="K1407" t="s">
        <v>35</v>
      </c>
      <c r="L1407" s="3">
        <v>5.8499999999999996E-2</v>
      </c>
      <c r="M1407" t="s">
        <v>17</v>
      </c>
      <c r="N1407" t="s">
        <v>26</v>
      </c>
      <c r="O1407">
        <v>516001.99</v>
      </c>
      <c r="P1407" s="1">
        <v>46022</v>
      </c>
      <c r="R1407" s="7"/>
      <c r="S1407" s="7"/>
    </row>
    <row r="1408" spans="1:19" x14ac:dyDescent="0.3">
      <c r="A1408" t="s">
        <v>1456</v>
      </c>
      <c r="B1408" t="s">
        <v>24</v>
      </c>
      <c r="C1408" t="s">
        <v>32</v>
      </c>
      <c r="D1408" s="5">
        <v>23748</v>
      </c>
      <c r="E1408">
        <v>20747.900000000001</v>
      </c>
      <c r="F1408" t="s">
        <v>33</v>
      </c>
      <c r="G1408">
        <v>312</v>
      </c>
      <c r="H1408" s="1">
        <f t="shared" si="21"/>
        <v>50801</v>
      </c>
      <c r="I1408" t="s">
        <v>15</v>
      </c>
      <c r="J1408" s="1">
        <v>41302</v>
      </c>
      <c r="K1408" t="s">
        <v>39</v>
      </c>
      <c r="L1408" s="3">
        <v>7.0400000000000004E-2</v>
      </c>
      <c r="M1408" t="s">
        <v>29</v>
      </c>
      <c r="N1408" t="s">
        <v>30</v>
      </c>
      <c r="O1408">
        <v>0</v>
      </c>
      <c r="P1408" s="1">
        <v>46022</v>
      </c>
      <c r="R1408" s="7"/>
      <c r="S1408" s="7"/>
    </row>
    <row r="1409" spans="1:19" x14ac:dyDescent="0.3">
      <c r="A1409" t="s">
        <v>1457</v>
      </c>
      <c r="B1409" t="s">
        <v>24</v>
      </c>
      <c r="C1409" t="s">
        <v>41</v>
      </c>
      <c r="D1409" s="5">
        <v>75046</v>
      </c>
      <c r="E1409">
        <v>18906.36</v>
      </c>
      <c r="F1409" t="s">
        <v>14</v>
      </c>
      <c r="G1409">
        <v>174</v>
      </c>
      <c r="H1409" s="1">
        <f t="shared" si="21"/>
        <v>49765</v>
      </c>
      <c r="I1409" t="s">
        <v>15</v>
      </c>
      <c r="J1409" s="1">
        <v>44452</v>
      </c>
      <c r="K1409" t="s">
        <v>22</v>
      </c>
      <c r="L1409" s="3">
        <v>4.1599999999999998E-2</v>
      </c>
      <c r="M1409" t="s">
        <v>17</v>
      </c>
      <c r="N1409" t="s">
        <v>42</v>
      </c>
      <c r="O1409">
        <v>90871.76</v>
      </c>
      <c r="P1409" s="1">
        <v>46022</v>
      </c>
      <c r="R1409" s="7"/>
      <c r="S1409" s="7"/>
    </row>
    <row r="1410" spans="1:19" x14ac:dyDescent="0.3">
      <c r="A1410" t="s">
        <v>1458</v>
      </c>
      <c r="B1410" t="s">
        <v>37</v>
      </c>
      <c r="C1410" t="s">
        <v>78</v>
      </c>
      <c r="D1410" s="5">
        <v>331797448</v>
      </c>
      <c r="E1410" s="4">
        <v>288182206.5</v>
      </c>
      <c r="F1410" t="s">
        <v>14</v>
      </c>
      <c r="G1410">
        <v>252</v>
      </c>
      <c r="H1410" s="1">
        <f t="shared" ref="H1410:H1473" si="22">EOMONTH(J1410,G1410)</f>
        <v>50191</v>
      </c>
      <c r="I1410" t="s">
        <v>15</v>
      </c>
      <c r="J1410" s="1">
        <v>42513</v>
      </c>
      <c r="K1410" t="s">
        <v>81</v>
      </c>
      <c r="L1410" s="3">
        <v>0.13970000000000002</v>
      </c>
      <c r="M1410" t="s">
        <v>29</v>
      </c>
      <c r="N1410" t="s">
        <v>30</v>
      </c>
      <c r="O1410">
        <v>0</v>
      </c>
      <c r="P1410" s="1">
        <v>46022</v>
      </c>
      <c r="R1410" s="7"/>
      <c r="S1410" s="7"/>
    </row>
    <row r="1411" spans="1:19" x14ac:dyDescent="0.3">
      <c r="A1411" t="s">
        <v>1459</v>
      </c>
      <c r="B1411" t="s">
        <v>24</v>
      </c>
      <c r="C1411" t="s">
        <v>28</v>
      </c>
      <c r="D1411" s="5">
        <v>35730</v>
      </c>
      <c r="E1411">
        <v>3998.35</v>
      </c>
      <c r="F1411" t="s">
        <v>48</v>
      </c>
      <c r="G1411">
        <v>168</v>
      </c>
      <c r="H1411" s="1">
        <f t="shared" si="22"/>
        <v>47330</v>
      </c>
      <c r="I1411" t="s">
        <v>15</v>
      </c>
      <c r="J1411" s="1">
        <v>42192</v>
      </c>
      <c r="K1411" t="s">
        <v>22</v>
      </c>
      <c r="L1411" s="3">
        <v>5.4299999999999994E-2</v>
      </c>
      <c r="M1411" t="s">
        <v>29</v>
      </c>
      <c r="N1411" t="s">
        <v>30</v>
      </c>
      <c r="O1411">
        <v>0</v>
      </c>
      <c r="P1411" s="1">
        <v>46022</v>
      </c>
      <c r="R1411" s="7"/>
      <c r="S1411" s="7"/>
    </row>
    <row r="1412" spans="1:19" x14ac:dyDescent="0.3">
      <c r="A1412" t="s">
        <v>1460</v>
      </c>
      <c r="B1412" t="s">
        <v>24</v>
      </c>
      <c r="C1412" t="s">
        <v>25</v>
      </c>
      <c r="D1412" s="5">
        <v>107527</v>
      </c>
      <c r="E1412" s="4">
        <v>60280.07</v>
      </c>
      <c r="F1412" t="s">
        <v>14</v>
      </c>
      <c r="G1412">
        <v>354</v>
      </c>
      <c r="H1412" s="1">
        <f t="shared" si="22"/>
        <v>56127</v>
      </c>
      <c r="I1412" t="s">
        <v>15</v>
      </c>
      <c r="J1412" s="1">
        <v>45350</v>
      </c>
      <c r="K1412" t="s">
        <v>101</v>
      </c>
      <c r="L1412" s="3">
        <v>0.16589999999999999</v>
      </c>
      <c r="M1412" t="s">
        <v>17</v>
      </c>
      <c r="N1412" t="s">
        <v>26</v>
      </c>
      <c r="O1412">
        <v>151827.96</v>
      </c>
      <c r="P1412" s="1">
        <v>46022</v>
      </c>
      <c r="R1412" s="7"/>
      <c r="S1412" s="7"/>
    </row>
    <row r="1413" spans="1:19" x14ac:dyDescent="0.3">
      <c r="A1413" t="s">
        <v>1461</v>
      </c>
      <c r="B1413" t="s">
        <v>24</v>
      </c>
      <c r="C1413" t="s">
        <v>32</v>
      </c>
      <c r="D1413" s="5">
        <v>11666</v>
      </c>
      <c r="E1413">
        <v>9245.0499999999993</v>
      </c>
      <c r="F1413" t="s">
        <v>33</v>
      </c>
      <c r="G1413">
        <v>108</v>
      </c>
      <c r="H1413" s="1">
        <f t="shared" si="22"/>
        <v>46507</v>
      </c>
      <c r="I1413" t="s">
        <v>15</v>
      </c>
      <c r="J1413" s="1">
        <v>43194</v>
      </c>
      <c r="K1413" t="s">
        <v>16</v>
      </c>
      <c r="L1413" s="3">
        <v>9.9700000000000011E-2</v>
      </c>
      <c r="M1413" t="s">
        <v>29</v>
      </c>
      <c r="N1413" t="s">
        <v>30</v>
      </c>
      <c r="O1413">
        <v>0</v>
      </c>
      <c r="P1413" s="1">
        <v>46022</v>
      </c>
      <c r="R1413" s="7"/>
      <c r="S1413" s="7"/>
    </row>
    <row r="1414" spans="1:19" x14ac:dyDescent="0.3">
      <c r="A1414" t="s">
        <v>1462</v>
      </c>
      <c r="B1414" t="s">
        <v>24</v>
      </c>
      <c r="C1414" t="s">
        <v>41</v>
      </c>
      <c r="D1414" s="5">
        <v>69552</v>
      </c>
      <c r="E1414">
        <v>65470.02</v>
      </c>
      <c r="F1414" t="s">
        <v>14</v>
      </c>
      <c r="G1414">
        <v>84</v>
      </c>
      <c r="H1414" s="1">
        <f t="shared" si="22"/>
        <v>45716</v>
      </c>
      <c r="I1414" t="s">
        <v>15</v>
      </c>
      <c r="J1414" s="1">
        <v>43158</v>
      </c>
      <c r="K1414" t="s">
        <v>22</v>
      </c>
      <c r="L1414" s="3">
        <v>5.3800000000000001E-2</v>
      </c>
      <c r="M1414" t="s">
        <v>17</v>
      </c>
      <c r="N1414" t="s">
        <v>42</v>
      </c>
      <c r="O1414">
        <v>73939.06</v>
      </c>
      <c r="P1414" s="1">
        <v>46022</v>
      </c>
      <c r="R1414" s="7"/>
      <c r="S1414" s="7"/>
    </row>
    <row r="1415" spans="1:19" x14ac:dyDescent="0.3">
      <c r="A1415" t="s">
        <v>1463</v>
      </c>
      <c r="B1415" t="s">
        <v>37</v>
      </c>
      <c r="C1415" t="s">
        <v>92</v>
      </c>
      <c r="D1415" s="5">
        <v>247154790</v>
      </c>
      <c r="E1415">
        <v>226957776.09999999</v>
      </c>
      <c r="F1415" t="s">
        <v>33</v>
      </c>
      <c r="G1415">
        <v>108</v>
      </c>
      <c r="H1415" s="1">
        <f t="shared" si="22"/>
        <v>45473</v>
      </c>
      <c r="I1415" t="s">
        <v>15</v>
      </c>
      <c r="J1415" s="1">
        <v>42169</v>
      </c>
      <c r="K1415" t="s">
        <v>39</v>
      </c>
      <c r="L1415" s="3">
        <v>7.6499999999999999E-2</v>
      </c>
      <c r="M1415" t="s">
        <v>17</v>
      </c>
      <c r="N1415" t="s">
        <v>26</v>
      </c>
      <c r="O1415">
        <v>396714239.5</v>
      </c>
      <c r="P1415" s="1">
        <v>46022</v>
      </c>
      <c r="R1415" s="7"/>
      <c r="S1415" s="7"/>
    </row>
    <row r="1416" spans="1:19" x14ac:dyDescent="0.3">
      <c r="A1416" t="s">
        <v>1464</v>
      </c>
      <c r="B1416" t="s">
        <v>12</v>
      </c>
      <c r="C1416" t="s">
        <v>26</v>
      </c>
      <c r="D1416" s="5">
        <v>1260360</v>
      </c>
      <c r="E1416" s="4">
        <v>1055756.42</v>
      </c>
      <c r="F1416" t="s">
        <v>14</v>
      </c>
      <c r="G1416">
        <v>168</v>
      </c>
      <c r="H1416" s="1">
        <f t="shared" si="22"/>
        <v>48699</v>
      </c>
      <c r="I1416" t="s">
        <v>15</v>
      </c>
      <c r="J1416" s="1">
        <v>43571</v>
      </c>
      <c r="K1416" t="s">
        <v>101</v>
      </c>
      <c r="L1416" s="3">
        <v>0.1409</v>
      </c>
      <c r="M1416" t="s">
        <v>29</v>
      </c>
      <c r="N1416" t="s">
        <v>30</v>
      </c>
      <c r="O1416">
        <v>0</v>
      </c>
      <c r="P1416" s="1">
        <v>46022</v>
      </c>
      <c r="R1416" s="7"/>
      <c r="S1416" s="7"/>
    </row>
    <row r="1417" spans="1:19" x14ac:dyDescent="0.3">
      <c r="A1417" t="s">
        <v>1465</v>
      </c>
      <c r="B1417" t="s">
        <v>24</v>
      </c>
      <c r="C1417" t="s">
        <v>41</v>
      </c>
      <c r="D1417" s="5">
        <v>82405</v>
      </c>
      <c r="E1417">
        <v>74112.34</v>
      </c>
      <c r="F1417" t="s">
        <v>14</v>
      </c>
      <c r="G1417">
        <v>144</v>
      </c>
      <c r="H1417" s="1">
        <f t="shared" si="22"/>
        <v>44957</v>
      </c>
      <c r="I1417" t="s">
        <v>15</v>
      </c>
      <c r="J1417" s="1">
        <v>40561</v>
      </c>
      <c r="K1417" t="s">
        <v>22</v>
      </c>
      <c r="L1417" s="3">
        <v>5.67E-2</v>
      </c>
      <c r="M1417" t="s">
        <v>17</v>
      </c>
      <c r="N1417" t="s">
        <v>42</v>
      </c>
      <c r="O1417">
        <v>102152.85</v>
      </c>
      <c r="P1417" s="1">
        <v>46022</v>
      </c>
      <c r="R1417" s="7"/>
      <c r="S1417" s="7"/>
    </row>
    <row r="1418" spans="1:19" x14ac:dyDescent="0.3">
      <c r="A1418" t="s">
        <v>1466</v>
      </c>
      <c r="B1418" t="s">
        <v>20</v>
      </c>
      <c r="C1418" t="s">
        <v>51</v>
      </c>
      <c r="D1418" s="5">
        <v>3875407</v>
      </c>
      <c r="E1418">
        <v>1082392.44</v>
      </c>
      <c r="F1418" t="s">
        <v>48</v>
      </c>
      <c r="G1418">
        <v>60</v>
      </c>
      <c r="H1418" s="1">
        <f t="shared" si="22"/>
        <v>45626</v>
      </c>
      <c r="I1418" t="s">
        <v>15</v>
      </c>
      <c r="J1418" s="1">
        <v>43771</v>
      </c>
      <c r="K1418" t="s">
        <v>22</v>
      </c>
      <c r="L1418" s="3">
        <v>4.82E-2</v>
      </c>
      <c r="M1418" t="s">
        <v>17</v>
      </c>
      <c r="N1418" t="s">
        <v>42</v>
      </c>
      <c r="O1418">
        <v>4847719.83</v>
      </c>
      <c r="P1418" s="1">
        <v>46022</v>
      </c>
      <c r="R1418" s="7"/>
      <c r="S1418" s="7"/>
    </row>
    <row r="1419" spans="1:19" x14ac:dyDescent="0.3">
      <c r="A1419" t="s">
        <v>1467</v>
      </c>
      <c r="B1419" t="s">
        <v>24</v>
      </c>
      <c r="C1419" t="s">
        <v>41</v>
      </c>
      <c r="D1419" s="5">
        <v>59358</v>
      </c>
      <c r="E1419">
        <v>21117.45</v>
      </c>
      <c r="F1419" t="s">
        <v>14</v>
      </c>
      <c r="G1419">
        <v>252</v>
      </c>
      <c r="H1419" s="1">
        <f t="shared" si="22"/>
        <v>50921</v>
      </c>
      <c r="I1419" t="s">
        <v>15</v>
      </c>
      <c r="J1419" s="1">
        <v>43234</v>
      </c>
      <c r="K1419" t="s">
        <v>22</v>
      </c>
      <c r="L1419" s="3">
        <v>5.0099999999999999E-2</v>
      </c>
      <c r="M1419" t="s">
        <v>17</v>
      </c>
      <c r="N1419" t="s">
        <v>42</v>
      </c>
      <c r="O1419">
        <v>61433.69</v>
      </c>
      <c r="P1419" s="1">
        <v>46022</v>
      </c>
      <c r="R1419" s="7"/>
      <c r="S1419" s="7"/>
    </row>
    <row r="1420" spans="1:19" x14ac:dyDescent="0.3">
      <c r="A1420" t="s">
        <v>1468</v>
      </c>
      <c r="B1420" t="s">
        <v>24</v>
      </c>
      <c r="C1420" t="s">
        <v>28</v>
      </c>
      <c r="D1420" s="5">
        <v>4257</v>
      </c>
      <c r="E1420">
        <v>1532.72</v>
      </c>
      <c r="F1420" t="s">
        <v>48</v>
      </c>
      <c r="G1420">
        <v>324</v>
      </c>
      <c r="H1420" s="1">
        <f t="shared" si="22"/>
        <v>54178</v>
      </c>
      <c r="I1420" t="s">
        <v>15</v>
      </c>
      <c r="J1420" s="1">
        <v>44308</v>
      </c>
      <c r="K1420" t="s">
        <v>22</v>
      </c>
      <c r="L1420" s="3">
        <v>4.1500000000000002E-2</v>
      </c>
      <c r="M1420" t="s">
        <v>29</v>
      </c>
      <c r="N1420" t="s">
        <v>30</v>
      </c>
      <c r="O1420">
        <v>0</v>
      </c>
      <c r="P1420" s="1">
        <v>46022</v>
      </c>
      <c r="R1420" s="7"/>
      <c r="S1420" s="7"/>
    </row>
    <row r="1421" spans="1:19" x14ac:dyDescent="0.3">
      <c r="A1421" t="s">
        <v>1469</v>
      </c>
      <c r="B1421" t="s">
        <v>37</v>
      </c>
      <c r="C1421" t="s">
        <v>144</v>
      </c>
      <c r="D1421" s="5">
        <v>385592374</v>
      </c>
      <c r="E1421">
        <v>169409445.90000001</v>
      </c>
      <c r="F1421" t="s">
        <v>48</v>
      </c>
      <c r="G1421">
        <v>270</v>
      </c>
      <c r="H1421" s="1">
        <f t="shared" si="22"/>
        <v>52565</v>
      </c>
      <c r="I1421" t="s">
        <v>15</v>
      </c>
      <c r="J1421" s="1">
        <v>44334</v>
      </c>
      <c r="K1421" t="s">
        <v>81</v>
      </c>
      <c r="L1421" s="3">
        <v>1.54E-2</v>
      </c>
      <c r="M1421" t="s">
        <v>17</v>
      </c>
      <c r="N1421" t="s">
        <v>18</v>
      </c>
      <c r="O1421">
        <v>757918984.29999995</v>
      </c>
      <c r="P1421" s="1">
        <v>46022</v>
      </c>
      <c r="R1421" s="7"/>
      <c r="S1421" s="7"/>
    </row>
    <row r="1422" spans="1:19" x14ac:dyDescent="0.3">
      <c r="A1422" t="s">
        <v>1470</v>
      </c>
      <c r="B1422" t="s">
        <v>24</v>
      </c>
      <c r="C1422" t="s">
        <v>28</v>
      </c>
      <c r="D1422" s="5">
        <v>29602</v>
      </c>
      <c r="E1422">
        <v>13438.96</v>
      </c>
      <c r="F1422" t="s">
        <v>48</v>
      </c>
      <c r="G1422">
        <v>318</v>
      </c>
      <c r="H1422" s="1">
        <f t="shared" si="22"/>
        <v>49979</v>
      </c>
      <c r="I1422" t="s">
        <v>15</v>
      </c>
      <c r="J1422" s="1">
        <v>40287</v>
      </c>
      <c r="K1422" t="s">
        <v>35</v>
      </c>
      <c r="L1422" s="3">
        <v>4.2699999999999995E-2</v>
      </c>
      <c r="M1422" t="s">
        <v>29</v>
      </c>
      <c r="N1422" t="s">
        <v>30</v>
      </c>
      <c r="O1422">
        <v>0</v>
      </c>
      <c r="P1422" s="1">
        <v>46022</v>
      </c>
      <c r="R1422" s="7"/>
      <c r="S1422" s="7"/>
    </row>
    <row r="1423" spans="1:19" x14ac:dyDescent="0.3">
      <c r="A1423" t="s">
        <v>1471</v>
      </c>
      <c r="B1423" t="s">
        <v>24</v>
      </c>
      <c r="C1423" t="s">
        <v>32</v>
      </c>
      <c r="D1423" s="5">
        <v>39316</v>
      </c>
      <c r="E1423">
        <v>23200.39</v>
      </c>
      <c r="F1423" t="s">
        <v>33</v>
      </c>
      <c r="G1423">
        <v>48</v>
      </c>
      <c r="H1423" s="1">
        <f t="shared" si="22"/>
        <v>46234</v>
      </c>
      <c r="I1423" t="s">
        <v>15</v>
      </c>
      <c r="J1423" s="1">
        <v>44749</v>
      </c>
      <c r="K1423" t="s">
        <v>22</v>
      </c>
      <c r="L1423" s="3">
        <v>5.8799999999999998E-2</v>
      </c>
      <c r="M1423" t="s">
        <v>29</v>
      </c>
      <c r="N1423" t="s">
        <v>30</v>
      </c>
      <c r="O1423">
        <v>0</v>
      </c>
      <c r="P1423" s="1">
        <v>46022</v>
      </c>
      <c r="R1423" s="7"/>
      <c r="S1423" s="7"/>
    </row>
    <row r="1424" spans="1:19" x14ac:dyDescent="0.3">
      <c r="A1424" t="s">
        <v>1472</v>
      </c>
      <c r="B1424" t="s">
        <v>24</v>
      </c>
      <c r="C1424" t="s">
        <v>28</v>
      </c>
      <c r="D1424" s="5">
        <v>37836</v>
      </c>
      <c r="E1424">
        <v>9227.7900000000009</v>
      </c>
      <c r="F1424" t="s">
        <v>48</v>
      </c>
      <c r="G1424">
        <v>60</v>
      </c>
      <c r="H1424" s="1">
        <f t="shared" si="22"/>
        <v>47118</v>
      </c>
      <c r="I1424" t="s">
        <v>15</v>
      </c>
      <c r="J1424" s="1">
        <v>45275</v>
      </c>
      <c r="K1424" t="s">
        <v>22</v>
      </c>
      <c r="L1424" s="3">
        <v>7.9600000000000004E-2</v>
      </c>
      <c r="M1424" t="s">
        <v>29</v>
      </c>
      <c r="N1424" t="s">
        <v>30</v>
      </c>
      <c r="O1424">
        <v>0</v>
      </c>
      <c r="P1424" s="1">
        <v>46022</v>
      </c>
      <c r="R1424" s="7"/>
      <c r="S1424" s="7"/>
    </row>
    <row r="1425" spans="1:19" x14ac:dyDescent="0.3">
      <c r="A1425" t="s">
        <v>1473</v>
      </c>
      <c r="B1425" t="s">
        <v>24</v>
      </c>
      <c r="C1425" t="s">
        <v>41</v>
      </c>
      <c r="D1425" s="5">
        <v>82270</v>
      </c>
      <c r="E1425">
        <v>59409.11</v>
      </c>
      <c r="F1425" t="s">
        <v>14</v>
      </c>
      <c r="G1425">
        <v>162</v>
      </c>
      <c r="H1425" s="1">
        <f t="shared" si="22"/>
        <v>47907</v>
      </c>
      <c r="I1425" t="s">
        <v>15</v>
      </c>
      <c r="J1425" s="1">
        <v>42948</v>
      </c>
      <c r="K1425" t="s">
        <v>35</v>
      </c>
      <c r="L1425" s="3">
        <v>3.3599999999999998E-2</v>
      </c>
      <c r="M1425" t="s">
        <v>17</v>
      </c>
      <c r="N1425" t="s">
        <v>42</v>
      </c>
      <c r="O1425">
        <v>85952.71</v>
      </c>
      <c r="P1425" s="1">
        <v>46022</v>
      </c>
      <c r="R1425" s="7"/>
      <c r="S1425" s="7"/>
    </row>
    <row r="1426" spans="1:19" x14ac:dyDescent="0.3">
      <c r="A1426" t="s">
        <v>1474</v>
      </c>
      <c r="B1426" t="s">
        <v>24</v>
      </c>
      <c r="C1426" t="s">
        <v>41</v>
      </c>
      <c r="D1426" s="5">
        <v>56621</v>
      </c>
      <c r="E1426">
        <v>14201.04</v>
      </c>
      <c r="F1426" t="s">
        <v>14</v>
      </c>
      <c r="G1426">
        <v>216</v>
      </c>
      <c r="H1426" s="1">
        <f t="shared" si="22"/>
        <v>49125</v>
      </c>
      <c r="I1426" t="s">
        <v>15</v>
      </c>
      <c r="J1426" s="1">
        <v>42537</v>
      </c>
      <c r="K1426" t="s">
        <v>16</v>
      </c>
      <c r="L1426" s="3">
        <v>8.7400000000000005E-2</v>
      </c>
      <c r="M1426" t="s">
        <v>17</v>
      </c>
      <c r="N1426" t="s">
        <v>42</v>
      </c>
      <c r="O1426">
        <v>65512.480000000003</v>
      </c>
      <c r="P1426" s="1">
        <v>46022</v>
      </c>
      <c r="R1426" s="7"/>
      <c r="S1426" s="7"/>
    </row>
    <row r="1427" spans="1:19" x14ac:dyDescent="0.3">
      <c r="A1427" t="s">
        <v>1475</v>
      </c>
      <c r="B1427" t="s">
        <v>12</v>
      </c>
      <c r="C1427" t="s">
        <v>63</v>
      </c>
      <c r="D1427" s="5">
        <v>7875901</v>
      </c>
      <c r="E1427">
        <v>2987153.24</v>
      </c>
      <c r="F1427" t="s">
        <v>48</v>
      </c>
      <c r="G1427">
        <v>60</v>
      </c>
      <c r="H1427" s="1">
        <f t="shared" si="22"/>
        <v>45046</v>
      </c>
      <c r="I1427" t="s">
        <v>15</v>
      </c>
      <c r="J1427" s="1">
        <v>43198</v>
      </c>
      <c r="K1427" t="s">
        <v>39</v>
      </c>
      <c r="L1427" s="3">
        <v>7.2900000000000006E-2</v>
      </c>
      <c r="M1427" t="s">
        <v>29</v>
      </c>
      <c r="N1427" t="s">
        <v>30</v>
      </c>
      <c r="O1427">
        <v>0</v>
      </c>
      <c r="P1427" s="1">
        <v>46022</v>
      </c>
      <c r="R1427" s="7"/>
      <c r="S1427" s="7"/>
    </row>
    <row r="1428" spans="1:19" x14ac:dyDescent="0.3">
      <c r="A1428" t="s">
        <v>1476</v>
      </c>
      <c r="B1428" t="s">
        <v>24</v>
      </c>
      <c r="C1428" t="s">
        <v>25</v>
      </c>
      <c r="D1428" s="5">
        <v>704042</v>
      </c>
      <c r="E1428">
        <v>389342.55</v>
      </c>
      <c r="F1428" t="s">
        <v>14</v>
      </c>
      <c r="G1428">
        <v>198</v>
      </c>
      <c r="H1428" s="1">
        <f t="shared" si="22"/>
        <v>49278</v>
      </c>
      <c r="I1428" t="s">
        <v>15</v>
      </c>
      <c r="J1428" s="1">
        <v>43249</v>
      </c>
      <c r="K1428" t="s">
        <v>56</v>
      </c>
      <c r="L1428" s="3">
        <v>3.8900000000000004E-2</v>
      </c>
      <c r="M1428" t="s">
        <v>17</v>
      </c>
      <c r="N1428" t="s">
        <v>26</v>
      </c>
      <c r="O1428">
        <v>840475.86</v>
      </c>
      <c r="P1428" s="1">
        <v>46022</v>
      </c>
      <c r="R1428" s="7"/>
      <c r="S1428" s="7"/>
    </row>
    <row r="1429" spans="1:19" x14ac:dyDescent="0.3">
      <c r="A1429" t="s">
        <v>1477</v>
      </c>
      <c r="B1429" t="s">
        <v>20</v>
      </c>
      <c r="C1429" t="s">
        <v>21</v>
      </c>
      <c r="D1429" s="5">
        <v>3121345</v>
      </c>
      <c r="E1429">
        <v>2549503.88</v>
      </c>
      <c r="F1429" t="s">
        <v>33</v>
      </c>
      <c r="G1429">
        <v>294</v>
      </c>
      <c r="H1429" s="1">
        <f t="shared" si="22"/>
        <v>49217</v>
      </c>
      <c r="I1429" t="s">
        <v>15</v>
      </c>
      <c r="J1429" s="1">
        <v>40238</v>
      </c>
      <c r="K1429" t="s">
        <v>39</v>
      </c>
      <c r="L1429" s="3">
        <v>8.0299999999999996E-2</v>
      </c>
      <c r="M1429" t="s">
        <v>29</v>
      </c>
      <c r="N1429" t="s">
        <v>30</v>
      </c>
      <c r="O1429">
        <v>0</v>
      </c>
      <c r="P1429" s="1">
        <v>46022</v>
      </c>
      <c r="R1429" s="7"/>
      <c r="S1429" s="7"/>
    </row>
    <row r="1430" spans="1:19" x14ac:dyDescent="0.3">
      <c r="A1430" t="s">
        <v>1478</v>
      </c>
      <c r="B1430" t="s">
        <v>37</v>
      </c>
      <c r="C1430" t="s">
        <v>144</v>
      </c>
      <c r="D1430" s="5">
        <v>373704062</v>
      </c>
      <c r="E1430">
        <v>286078796.60000002</v>
      </c>
      <c r="F1430" t="s">
        <v>33</v>
      </c>
      <c r="G1430">
        <v>204</v>
      </c>
      <c r="H1430" s="1">
        <f t="shared" si="22"/>
        <v>48091</v>
      </c>
      <c r="I1430" t="s">
        <v>15</v>
      </c>
      <c r="J1430" s="1">
        <v>41863</v>
      </c>
      <c r="K1430" t="s">
        <v>39</v>
      </c>
      <c r="L1430" s="3">
        <v>7.4499999999999997E-2</v>
      </c>
      <c r="M1430" t="s">
        <v>17</v>
      </c>
      <c r="N1430" t="s">
        <v>54</v>
      </c>
      <c r="O1430">
        <v>712479366.5</v>
      </c>
      <c r="P1430" s="1">
        <v>46022</v>
      </c>
      <c r="R1430" s="7"/>
      <c r="S1430" s="7"/>
    </row>
    <row r="1431" spans="1:19" x14ac:dyDescent="0.3">
      <c r="A1431" t="s">
        <v>1479</v>
      </c>
      <c r="B1431" t="s">
        <v>37</v>
      </c>
      <c r="C1431" t="s">
        <v>92</v>
      </c>
      <c r="D1431" s="5">
        <v>93241693</v>
      </c>
      <c r="E1431" s="4">
        <v>63495813.93</v>
      </c>
      <c r="F1431" t="s">
        <v>33</v>
      </c>
      <c r="G1431">
        <v>180</v>
      </c>
      <c r="H1431" s="1">
        <f t="shared" si="22"/>
        <v>49887</v>
      </c>
      <c r="I1431" t="s">
        <v>15</v>
      </c>
      <c r="J1431" s="1">
        <v>44383</v>
      </c>
      <c r="K1431" t="s">
        <v>56</v>
      </c>
      <c r="L1431" s="3">
        <v>0.1353</v>
      </c>
      <c r="M1431" t="s">
        <v>17</v>
      </c>
      <c r="N1431" t="s">
        <v>42</v>
      </c>
      <c r="O1431">
        <v>172527675.90000001</v>
      </c>
      <c r="P1431" s="1">
        <v>46022</v>
      </c>
      <c r="R1431" s="7"/>
      <c r="S1431" s="7"/>
    </row>
    <row r="1432" spans="1:19" x14ac:dyDescent="0.3">
      <c r="A1432" t="s">
        <v>1480</v>
      </c>
      <c r="B1432" t="s">
        <v>20</v>
      </c>
      <c r="C1432" t="s">
        <v>51</v>
      </c>
      <c r="D1432" s="5">
        <v>1015127</v>
      </c>
      <c r="E1432">
        <v>243829.44</v>
      </c>
      <c r="F1432" t="s">
        <v>33</v>
      </c>
      <c r="G1432">
        <v>48</v>
      </c>
      <c r="H1432" s="1">
        <f t="shared" si="22"/>
        <v>45473</v>
      </c>
      <c r="I1432" t="s">
        <v>15</v>
      </c>
      <c r="J1432" s="1">
        <v>43986</v>
      </c>
      <c r="K1432" t="s">
        <v>81</v>
      </c>
      <c r="L1432" s="3">
        <v>1.15E-2</v>
      </c>
      <c r="M1432" t="s">
        <v>29</v>
      </c>
      <c r="N1432" t="s">
        <v>30</v>
      </c>
      <c r="O1432">
        <v>0</v>
      </c>
      <c r="P1432" s="1">
        <v>46022</v>
      </c>
      <c r="R1432" s="7"/>
      <c r="S1432" s="7"/>
    </row>
    <row r="1433" spans="1:19" x14ac:dyDescent="0.3">
      <c r="A1433" t="s">
        <v>1481</v>
      </c>
      <c r="B1433" t="s">
        <v>12</v>
      </c>
      <c r="C1433" t="s">
        <v>13</v>
      </c>
      <c r="D1433" s="5">
        <v>44630066</v>
      </c>
      <c r="E1433">
        <v>26436209.690000001</v>
      </c>
      <c r="F1433" t="s">
        <v>14</v>
      </c>
      <c r="G1433">
        <v>234</v>
      </c>
      <c r="H1433" s="1">
        <f t="shared" si="22"/>
        <v>51682</v>
      </c>
      <c r="I1433" t="s">
        <v>15</v>
      </c>
      <c r="J1433" s="1">
        <v>44559</v>
      </c>
      <c r="K1433" t="s">
        <v>35</v>
      </c>
      <c r="L1433" s="3">
        <v>0.03</v>
      </c>
      <c r="M1433" t="s">
        <v>17</v>
      </c>
      <c r="N1433" t="s">
        <v>18</v>
      </c>
      <c r="O1433">
        <v>67373805.780000001</v>
      </c>
      <c r="P1433" s="1">
        <v>46022</v>
      </c>
      <c r="R1433" s="7"/>
      <c r="S1433" s="7"/>
    </row>
    <row r="1434" spans="1:19" x14ac:dyDescent="0.3">
      <c r="A1434" t="s">
        <v>1482</v>
      </c>
      <c r="B1434" t="s">
        <v>24</v>
      </c>
      <c r="C1434" t="s">
        <v>41</v>
      </c>
      <c r="D1434" s="5">
        <v>77498</v>
      </c>
      <c r="E1434">
        <v>13849.04</v>
      </c>
      <c r="F1434" t="s">
        <v>14</v>
      </c>
      <c r="G1434">
        <v>282</v>
      </c>
      <c r="H1434" s="1">
        <f t="shared" si="22"/>
        <v>52078</v>
      </c>
      <c r="I1434" t="s">
        <v>15</v>
      </c>
      <c r="J1434" s="1">
        <v>43473</v>
      </c>
      <c r="K1434" t="s">
        <v>16</v>
      </c>
      <c r="L1434" s="3">
        <v>8.9099999999999999E-2</v>
      </c>
      <c r="M1434" t="s">
        <v>17</v>
      </c>
      <c r="N1434" t="s">
        <v>42</v>
      </c>
      <c r="O1434">
        <v>87075.85</v>
      </c>
      <c r="P1434" s="1">
        <v>46022</v>
      </c>
      <c r="R1434" s="7"/>
      <c r="S1434" s="7"/>
    </row>
    <row r="1435" spans="1:19" x14ac:dyDescent="0.3">
      <c r="A1435" t="s">
        <v>1483</v>
      </c>
      <c r="B1435" t="s">
        <v>24</v>
      </c>
      <c r="C1435" t="s">
        <v>25</v>
      </c>
      <c r="D1435" s="5">
        <v>917406</v>
      </c>
      <c r="E1435">
        <v>403316.16</v>
      </c>
      <c r="F1435" t="s">
        <v>14</v>
      </c>
      <c r="G1435">
        <v>156</v>
      </c>
      <c r="H1435" s="1">
        <f t="shared" si="22"/>
        <v>48913</v>
      </c>
      <c r="I1435" t="s">
        <v>15</v>
      </c>
      <c r="J1435" s="1">
        <v>44158</v>
      </c>
      <c r="K1435" t="s">
        <v>16</v>
      </c>
      <c r="L1435" s="3">
        <v>8.2100000000000006E-2</v>
      </c>
      <c r="M1435" t="s">
        <v>17</v>
      </c>
      <c r="N1435" t="s">
        <v>26</v>
      </c>
      <c r="O1435">
        <v>1164866.1599999999</v>
      </c>
      <c r="P1435" s="1">
        <v>46022</v>
      </c>
      <c r="R1435" s="7"/>
      <c r="S1435" s="7"/>
    </row>
    <row r="1436" spans="1:19" x14ac:dyDescent="0.3">
      <c r="A1436" t="s">
        <v>1484</v>
      </c>
      <c r="B1436" t="s">
        <v>24</v>
      </c>
      <c r="C1436" t="s">
        <v>25</v>
      </c>
      <c r="D1436" s="5">
        <v>782844</v>
      </c>
      <c r="E1436">
        <v>369631.34</v>
      </c>
      <c r="F1436" t="s">
        <v>14</v>
      </c>
      <c r="G1436">
        <v>342</v>
      </c>
      <c r="H1436" s="1">
        <f t="shared" si="22"/>
        <v>54178</v>
      </c>
      <c r="I1436" t="s">
        <v>15</v>
      </c>
      <c r="J1436" s="1">
        <v>43740</v>
      </c>
      <c r="K1436" t="s">
        <v>39</v>
      </c>
      <c r="L1436" s="3">
        <v>6.9699999999999998E-2</v>
      </c>
      <c r="M1436" t="s">
        <v>17</v>
      </c>
      <c r="N1436" t="s">
        <v>26</v>
      </c>
      <c r="O1436">
        <v>1054709.8799999999</v>
      </c>
      <c r="P1436" s="1">
        <v>46022</v>
      </c>
      <c r="R1436" s="7"/>
      <c r="S1436" s="7"/>
    </row>
    <row r="1437" spans="1:19" x14ac:dyDescent="0.3">
      <c r="A1437" t="s">
        <v>1485</v>
      </c>
      <c r="B1437" t="s">
        <v>24</v>
      </c>
      <c r="C1437" t="s">
        <v>32</v>
      </c>
      <c r="D1437" s="5">
        <v>30261</v>
      </c>
      <c r="E1437">
        <v>4110.3100000000004</v>
      </c>
      <c r="F1437" t="s">
        <v>33</v>
      </c>
      <c r="G1437">
        <v>222</v>
      </c>
      <c r="H1437" s="1">
        <f t="shared" si="22"/>
        <v>51866</v>
      </c>
      <c r="I1437" t="s">
        <v>15</v>
      </c>
      <c r="J1437" s="1">
        <v>45090</v>
      </c>
      <c r="K1437" t="s">
        <v>39</v>
      </c>
      <c r="L1437" s="3">
        <v>9.5600000000000004E-2</v>
      </c>
      <c r="M1437" t="s">
        <v>29</v>
      </c>
      <c r="N1437" t="s">
        <v>30</v>
      </c>
      <c r="O1437">
        <v>0</v>
      </c>
      <c r="P1437" s="1">
        <v>46022</v>
      </c>
      <c r="R1437" s="7"/>
      <c r="S1437" s="7"/>
    </row>
    <row r="1438" spans="1:19" x14ac:dyDescent="0.3">
      <c r="A1438" t="s">
        <v>1486</v>
      </c>
      <c r="B1438" t="s">
        <v>20</v>
      </c>
      <c r="C1438" t="s">
        <v>89</v>
      </c>
      <c r="D1438" s="5">
        <v>3287957</v>
      </c>
      <c r="E1438">
        <v>1139570.7</v>
      </c>
      <c r="F1438" t="s">
        <v>33</v>
      </c>
      <c r="G1438">
        <v>204</v>
      </c>
      <c r="H1438" s="1">
        <f t="shared" si="22"/>
        <v>49309</v>
      </c>
      <c r="I1438" t="s">
        <v>15</v>
      </c>
      <c r="J1438" s="1">
        <v>43088</v>
      </c>
      <c r="K1438" t="s">
        <v>56</v>
      </c>
      <c r="L1438" s="3">
        <v>3.1200000000000002E-2</v>
      </c>
      <c r="M1438" t="s">
        <v>29</v>
      </c>
      <c r="N1438" t="s">
        <v>30</v>
      </c>
      <c r="O1438">
        <v>0</v>
      </c>
      <c r="P1438" s="1">
        <v>46022</v>
      </c>
      <c r="R1438" s="7"/>
      <c r="S1438" s="7"/>
    </row>
    <row r="1439" spans="1:19" x14ac:dyDescent="0.3">
      <c r="A1439" t="s">
        <v>1487</v>
      </c>
      <c r="B1439" t="s">
        <v>20</v>
      </c>
      <c r="C1439" t="s">
        <v>47</v>
      </c>
      <c r="D1439" s="5">
        <v>4451183</v>
      </c>
      <c r="E1439">
        <v>4273512.1100000003</v>
      </c>
      <c r="F1439" t="s">
        <v>48</v>
      </c>
      <c r="G1439">
        <v>60</v>
      </c>
      <c r="H1439" s="1">
        <f t="shared" si="22"/>
        <v>45688</v>
      </c>
      <c r="I1439" t="s">
        <v>15</v>
      </c>
      <c r="J1439" s="1">
        <v>43850</v>
      </c>
      <c r="K1439" t="s">
        <v>22</v>
      </c>
      <c r="L1439" s="3">
        <v>5.4900000000000004E-2</v>
      </c>
      <c r="M1439" t="s">
        <v>29</v>
      </c>
      <c r="N1439" t="s">
        <v>30</v>
      </c>
      <c r="O1439">
        <v>0</v>
      </c>
      <c r="P1439" s="1">
        <v>46022</v>
      </c>
      <c r="R1439" s="7"/>
      <c r="S1439" s="7"/>
    </row>
    <row r="1440" spans="1:19" x14ac:dyDescent="0.3">
      <c r="A1440" t="s">
        <v>1488</v>
      </c>
      <c r="B1440" t="s">
        <v>24</v>
      </c>
      <c r="C1440" t="s">
        <v>41</v>
      </c>
      <c r="D1440" s="5">
        <v>62093</v>
      </c>
      <c r="E1440">
        <v>59501.440000000002</v>
      </c>
      <c r="F1440" t="s">
        <v>14</v>
      </c>
      <c r="G1440">
        <v>240</v>
      </c>
      <c r="H1440" s="1">
        <f t="shared" si="22"/>
        <v>48791</v>
      </c>
      <c r="I1440" t="s">
        <v>15</v>
      </c>
      <c r="J1440" s="1">
        <v>41484</v>
      </c>
      <c r="K1440" t="s">
        <v>35</v>
      </c>
      <c r="L1440" s="3">
        <v>3.3300000000000003E-2</v>
      </c>
      <c r="M1440" t="s">
        <v>17</v>
      </c>
      <c r="N1440" t="s">
        <v>42</v>
      </c>
      <c r="O1440">
        <v>66067.53</v>
      </c>
      <c r="P1440" s="1">
        <v>46022</v>
      </c>
      <c r="R1440" s="7"/>
      <c r="S1440" s="7"/>
    </row>
    <row r="1441" spans="1:19" x14ac:dyDescent="0.3">
      <c r="A1441" t="s">
        <v>1489</v>
      </c>
      <c r="B1441" t="s">
        <v>20</v>
      </c>
      <c r="C1441" t="s">
        <v>47</v>
      </c>
      <c r="D1441" s="5">
        <v>3180337</v>
      </c>
      <c r="E1441">
        <v>1326500.6200000001</v>
      </c>
      <c r="F1441" t="s">
        <v>33</v>
      </c>
      <c r="G1441">
        <v>168</v>
      </c>
      <c r="H1441" s="1">
        <f t="shared" si="22"/>
        <v>49521</v>
      </c>
      <c r="I1441" t="s">
        <v>15</v>
      </c>
      <c r="J1441" s="1">
        <v>44384</v>
      </c>
      <c r="K1441" t="s">
        <v>35</v>
      </c>
      <c r="L1441" s="3">
        <v>3.2199999999999999E-2</v>
      </c>
      <c r="M1441" t="s">
        <v>29</v>
      </c>
      <c r="N1441" t="s">
        <v>30</v>
      </c>
      <c r="O1441">
        <v>0</v>
      </c>
      <c r="P1441" s="1">
        <v>46022</v>
      </c>
      <c r="R1441" s="7"/>
      <c r="S1441" s="7"/>
    </row>
    <row r="1442" spans="1:19" x14ac:dyDescent="0.3">
      <c r="A1442" t="s">
        <v>1490</v>
      </c>
      <c r="B1442" t="s">
        <v>24</v>
      </c>
      <c r="C1442" t="s">
        <v>32</v>
      </c>
      <c r="D1442" s="5">
        <v>8667</v>
      </c>
      <c r="E1442">
        <v>1202.94</v>
      </c>
      <c r="F1442" t="s">
        <v>33</v>
      </c>
      <c r="G1442">
        <v>234</v>
      </c>
      <c r="H1442" s="1">
        <f t="shared" si="22"/>
        <v>49918</v>
      </c>
      <c r="I1442" t="s">
        <v>15</v>
      </c>
      <c r="J1442" s="1">
        <v>42787</v>
      </c>
      <c r="K1442" t="s">
        <v>39</v>
      </c>
      <c r="L1442" s="3">
        <v>6.7500000000000004E-2</v>
      </c>
      <c r="M1442" t="s">
        <v>29</v>
      </c>
      <c r="N1442" t="s">
        <v>30</v>
      </c>
      <c r="O1442">
        <v>0</v>
      </c>
      <c r="P1442" s="1">
        <v>46022</v>
      </c>
      <c r="R1442" s="7"/>
      <c r="S1442" s="7"/>
    </row>
    <row r="1443" spans="1:19" x14ac:dyDescent="0.3">
      <c r="A1443" t="s">
        <v>1491</v>
      </c>
      <c r="B1443" t="s">
        <v>24</v>
      </c>
      <c r="C1443" t="s">
        <v>32</v>
      </c>
      <c r="D1443" s="5">
        <v>24222</v>
      </c>
      <c r="E1443">
        <v>6326.47</v>
      </c>
      <c r="F1443" t="s">
        <v>33</v>
      </c>
      <c r="G1443">
        <v>234</v>
      </c>
      <c r="H1443" s="1">
        <f t="shared" si="22"/>
        <v>51744</v>
      </c>
      <c r="I1443" t="s">
        <v>15</v>
      </c>
      <c r="J1443" s="1">
        <v>44600</v>
      </c>
      <c r="K1443" t="s">
        <v>35</v>
      </c>
      <c r="L1443" s="3">
        <v>4.2300000000000004E-2</v>
      </c>
      <c r="M1443" t="s">
        <v>29</v>
      </c>
      <c r="N1443" t="s">
        <v>30</v>
      </c>
      <c r="O1443">
        <v>0</v>
      </c>
      <c r="P1443" s="1">
        <v>46022</v>
      </c>
      <c r="R1443" s="7"/>
      <c r="S1443" s="7"/>
    </row>
    <row r="1444" spans="1:19" x14ac:dyDescent="0.3">
      <c r="A1444" t="s">
        <v>1492</v>
      </c>
      <c r="B1444" t="s">
        <v>20</v>
      </c>
      <c r="C1444" t="s">
        <v>47</v>
      </c>
      <c r="D1444" s="5">
        <v>3596166</v>
      </c>
      <c r="E1444">
        <v>1629048.73</v>
      </c>
      <c r="F1444" t="s">
        <v>33</v>
      </c>
      <c r="G1444">
        <v>168</v>
      </c>
      <c r="H1444" s="1">
        <f t="shared" si="22"/>
        <v>47057</v>
      </c>
      <c r="I1444" t="s">
        <v>15</v>
      </c>
      <c r="J1444" s="1">
        <v>41921</v>
      </c>
      <c r="K1444" t="s">
        <v>22</v>
      </c>
      <c r="L1444" s="3">
        <v>4.9699999999999994E-2</v>
      </c>
      <c r="M1444" t="s">
        <v>17</v>
      </c>
      <c r="N1444" t="s">
        <v>26</v>
      </c>
      <c r="O1444">
        <v>5006710.9800000004</v>
      </c>
      <c r="P1444" s="1">
        <v>46022</v>
      </c>
      <c r="R1444" s="7"/>
      <c r="S1444" s="7"/>
    </row>
    <row r="1445" spans="1:19" x14ac:dyDescent="0.3">
      <c r="A1445" t="s">
        <v>1493</v>
      </c>
      <c r="B1445" t="s">
        <v>24</v>
      </c>
      <c r="C1445" t="s">
        <v>28</v>
      </c>
      <c r="D1445" s="5">
        <v>14276</v>
      </c>
      <c r="E1445">
        <v>13605.23</v>
      </c>
      <c r="F1445" t="s">
        <v>48</v>
      </c>
      <c r="G1445">
        <v>84</v>
      </c>
      <c r="H1445" s="1">
        <f t="shared" si="22"/>
        <v>47879</v>
      </c>
      <c r="I1445" t="s">
        <v>15</v>
      </c>
      <c r="J1445" s="1">
        <v>45303</v>
      </c>
      <c r="K1445" t="s">
        <v>16</v>
      </c>
      <c r="L1445" s="3">
        <v>0.1182</v>
      </c>
      <c r="M1445" t="s">
        <v>29</v>
      </c>
      <c r="N1445" t="s">
        <v>30</v>
      </c>
      <c r="O1445">
        <v>0</v>
      </c>
      <c r="P1445" s="1">
        <v>46022</v>
      </c>
      <c r="R1445" s="7"/>
      <c r="S1445" s="7"/>
    </row>
    <row r="1446" spans="1:19" x14ac:dyDescent="0.3">
      <c r="A1446" t="s">
        <v>1494</v>
      </c>
      <c r="B1446" t="s">
        <v>24</v>
      </c>
      <c r="C1446" t="s">
        <v>28</v>
      </c>
      <c r="D1446" s="5">
        <v>10910</v>
      </c>
      <c r="E1446">
        <v>2477.54</v>
      </c>
      <c r="F1446" t="s">
        <v>33</v>
      </c>
      <c r="G1446">
        <v>318</v>
      </c>
      <c r="H1446" s="1">
        <f t="shared" si="22"/>
        <v>55092</v>
      </c>
      <c r="I1446" t="s">
        <v>15</v>
      </c>
      <c r="J1446" s="1">
        <v>45391</v>
      </c>
      <c r="K1446" t="s">
        <v>35</v>
      </c>
      <c r="L1446" s="3">
        <v>5.62E-2</v>
      </c>
      <c r="M1446" t="s">
        <v>29</v>
      </c>
      <c r="N1446" t="s">
        <v>30</v>
      </c>
      <c r="O1446">
        <v>0</v>
      </c>
      <c r="P1446" s="1">
        <v>46022</v>
      </c>
      <c r="R1446" s="7"/>
      <c r="S1446" s="7"/>
    </row>
    <row r="1447" spans="1:19" x14ac:dyDescent="0.3">
      <c r="A1447" t="s">
        <v>1495</v>
      </c>
      <c r="B1447" t="s">
        <v>24</v>
      </c>
      <c r="C1447" t="s">
        <v>25</v>
      </c>
      <c r="D1447" s="5">
        <v>382444</v>
      </c>
      <c r="E1447" s="4">
        <v>301046.34999999998</v>
      </c>
      <c r="F1447" t="s">
        <v>14</v>
      </c>
      <c r="G1447">
        <v>300</v>
      </c>
      <c r="H1447" s="1">
        <f t="shared" si="22"/>
        <v>54666</v>
      </c>
      <c r="I1447" t="s">
        <v>15</v>
      </c>
      <c r="J1447" s="1">
        <v>45523</v>
      </c>
      <c r="K1447" t="s">
        <v>101</v>
      </c>
      <c r="L1447" s="3">
        <v>0.1686</v>
      </c>
      <c r="M1447" t="s">
        <v>17</v>
      </c>
      <c r="N1447" t="s">
        <v>26</v>
      </c>
      <c r="O1447">
        <v>495230.39</v>
      </c>
      <c r="P1447" s="1">
        <v>46022</v>
      </c>
      <c r="R1447" s="7"/>
      <c r="S1447" s="7"/>
    </row>
    <row r="1448" spans="1:19" x14ac:dyDescent="0.3">
      <c r="A1448" t="s">
        <v>1496</v>
      </c>
      <c r="B1448" t="s">
        <v>24</v>
      </c>
      <c r="C1448" t="s">
        <v>41</v>
      </c>
      <c r="D1448" s="5">
        <v>31735</v>
      </c>
      <c r="E1448" s="4">
        <v>6277.65</v>
      </c>
      <c r="F1448" t="s">
        <v>14</v>
      </c>
      <c r="G1448">
        <v>228</v>
      </c>
      <c r="H1448" s="1">
        <f t="shared" si="22"/>
        <v>52047</v>
      </c>
      <c r="I1448" t="s">
        <v>15</v>
      </c>
      <c r="J1448" s="1">
        <v>45092</v>
      </c>
      <c r="K1448" t="s">
        <v>101</v>
      </c>
      <c r="L1448" s="3">
        <v>0.17399999999999999</v>
      </c>
      <c r="M1448" t="s">
        <v>17</v>
      </c>
      <c r="N1448" t="s">
        <v>42</v>
      </c>
      <c r="O1448">
        <v>36057.18</v>
      </c>
      <c r="P1448" s="1">
        <v>46022</v>
      </c>
      <c r="R1448" s="7"/>
      <c r="S1448" s="7"/>
    </row>
    <row r="1449" spans="1:19" x14ac:dyDescent="0.3">
      <c r="A1449" t="s">
        <v>1497</v>
      </c>
      <c r="B1449" t="s">
        <v>24</v>
      </c>
      <c r="C1449" t="s">
        <v>32</v>
      </c>
      <c r="D1449" s="5">
        <v>11531</v>
      </c>
      <c r="E1449">
        <v>11336.22</v>
      </c>
      <c r="F1449" t="s">
        <v>33</v>
      </c>
      <c r="G1449">
        <v>60</v>
      </c>
      <c r="H1449" s="1">
        <f t="shared" si="22"/>
        <v>45199</v>
      </c>
      <c r="I1449" t="s">
        <v>15</v>
      </c>
      <c r="J1449" s="1">
        <v>43358</v>
      </c>
      <c r="K1449" t="s">
        <v>22</v>
      </c>
      <c r="L1449" s="3">
        <v>5.45E-2</v>
      </c>
      <c r="M1449" t="s">
        <v>29</v>
      </c>
      <c r="N1449" t="s">
        <v>30</v>
      </c>
      <c r="O1449">
        <v>0</v>
      </c>
      <c r="P1449" s="1">
        <v>46022</v>
      </c>
      <c r="R1449" s="7"/>
      <c r="S1449" s="7"/>
    </row>
    <row r="1450" spans="1:19" x14ac:dyDescent="0.3">
      <c r="A1450" t="s">
        <v>1498</v>
      </c>
      <c r="B1450" t="s">
        <v>24</v>
      </c>
      <c r="C1450" t="s">
        <v>25</v>
      </c>
      <c r="D1450" s="5">
        <v>482366</v>
      </c>
      <c r="E1450">
        <v>213907.44</v>
      </c>
      <c r="F1450" t="s">
        <v>14</v>
      </c>
      <c r="G1450">
        <v>252</v>
      </c>
      <c r="H1450" s="1">
        <f t="shared" si="22"/>
        <v>52290</v>
      </c>
      <c r="I1450" t="s">
        <v>15</v>
      </c>
      <c r="J1450" s="1">
        <v>44599</v>
      </c>
      <c r="K1450" t="s">
        <v>35</v>
      </c>
      <c r="L1450" s="3">
        <v>4.2999999999999997E-2</v>
      </c>
      <c r="M1450" t="s">
        <v>17</v>
      </c>
      <c r="N1450" t="s">
        <v>26</v>
      </c>
      <c r="O1450">
        <v>568876.49</v>
      </c>
      <c r="P1450" s="1">
        <v>46022</v>
      </c>
      <c r="R1450" s="7"/>
      <c r="S1450" s="7"/>
    </row>
    <row r="1451" spans="1:19" x14ac:dyDescent="0.3">
      <c r="A1451" t="s">
        <v>1499</v>
      </c>
      <c r="B1451" t="s">
        <v>12</v>
      </c>
      <c r="C1451" t="s">
        <v>26</v>
      </c>
      <c r="D1451" s="5">
        <v>45484087</v>
      </c>
      <c r="E1451">
        <v>36283160.539999999</v>
      </c>
      <c r="F1451" t="s">
        <v>33</v>
      </c>
      <c r="G1451">
        <v>108</v>
      </c>
      <c r="H1451" s="1">
        <f t="shared" si="22"/>
        <v>48395</v>
      </c>
      <c r="I1451" t="s">
        <v>15</v>
      </c>
      <c r="J1451" s="1">
        <v>45079</v>
      </c>
      <c r="K1451" t="s">
        <v>22</v>
      </c>
      <c r="L1451" s="3">
        <v>7.22E-2</v>
      </c>
      <c r="M1451" t="s">
        <v>17</v>
      </c>
      <c r="N1451" t="s">
        <v>18</v>
      </c>
      <c r="O1451">
        <v>56157815.380000003</v>
      </c>
      <c r="P1451" s="1">
        <v>46022</v>
      </c>
      <c r="R1451" s="7"/>
      <c r="S1451" s="7"/>
    </row>
    <row r="1452" spans="1:19" x14ac:dyDescent="0.3">
      <c r="A1452" t="s">
        <v>1500</v>
      </c>
      <c r="B1452" t="s">
        <v>24</v>
      </c>
      <c r="C1452" t="s">
        <v>25</v>
      </c>
      <c r="D1452" s="5">
        <v>556354</v>
      </c>
      <c r="E1452">
        <v>227177</v>
      </c>
      <c r="F1452" t="s">
        <v>14</v>
      </c>
      <c r="G1452">
        <v>264</v>
      </c>
      <c r="H1452" s="1">
        <f t="shared" si="22"/>
        <v>49156</v>
      </c>
      <c r="I1452" t="s">
        <v>15</v>
      </c>
      <c r="J1452" s="1">
        <v>41100</v>
      </c>
      <c r="K1452" t="s">
        <v>22</v>
      </c>
      <c r="L1452" s="3">
        <v>4.1700000000000001E-2</v>
      </c>
      <c r="M1452" t="s">
        <v>17</v>
      </c>
      <c r="N1452" t="s">
        <v>26</v>
      </c>
      <c r="O1452">
        <v>667901.19999999995</v>
      </c>
      <c r="P1452" s="1">
        <v>46022</v>
      </c>
      <c r="R1452" s="7"/>
      <c r="S1452" s="7"/>
    </row>
    <row r="1453" spans="1:19" x14ac:dyDescent="0.3">
      <c r="A1453" t="s">
        <v>1501</v>
      </c>
      <c r="B1453" t="s">
        <v>24</v>
      </c>
      <c r="C1453" t="s">
        <v>28</v>
      </c>
      <c r="D1453" s="5">
        <v>10208</v>
      </c>
      <c r="E1453">
        <v>6787.39</v>
      </c>
      <c r="F1453" t="s">
        <v>33</v>
      </c>
      <c r="G1453">
        <v>288</v>
      </c>
      <c r="H1453" s="1">
        <f t="shared" si="22"/>
        <v>51379</v>
      </c>
      <c r="I1453" t="s">
        <v>15</v>
      </c>
      <c r="J1453" s="1">
        <v>42591</v>
      </c>
      <c r="K1453" t="s">
        <v>22</v>
      </c>
      <c r="L1453" s="3">
        <v>4.1299999999999996E-2</v>
      </c>
      <c r="M1453" t="s">
        <v>29</v>
      </c>
      <c r="N1453" t="s">
        <v>30</v>
      </c>
      <c r="O1453">
        <v>0</v>
      </c>
      <c r="P1453" s="1">
        <v>46022</v>
      </c>
      <c r="R1453" s="7"/>
      <c r="S1453" s="7"/>
    </row>
    <row r="1454" spans="1:19" x14ac:dyDescent="0.3">
      <c r="A1454" t="s">
        <v>1502</v>
      </c>
      <c r="B1454" t="s">
        <v>24</v>
      </c>
      <c r="C1454" t="s">
        <v>32</v>
      </c>
      <c r="D1454" s="5">
        <v>4772</v>
      </c>
      <c r="E1454">
        <v>1301.76</v>
      </c>
      <c r="F1454" t="s">
        <v>33</v>
      </c>
      <c r="G1454">
        <v>150</v>
      </c>
      <c r="H1454" s="1">
        <f t="shared" si="22"/>
        <v>45626</v>
      </c>
      <c r="I1454" t="s">
        <v>15</v>
      </c>
      <c r="J1454" s="1">
        <v>41053</v>
      </c>
      <c r="K1454" t="s">
        <v>22</v>
      </c>
      <c r="L1454" s="3">
        <v>3.9800000000000002E-2</v>
      </c>
      <c r="M1454" t="s">
        <v>29</v>
      </c>
      <c r="N1454" t="s">
        <v>30</v>
      </c>
      <c r="O1454">
        <v>0</v>
      </c>
      <c r="P1454" s="1">
        <v>46022</v>
      </c>
      <c r="R1454" s="7"/>
      <c r="S1454" s="7"/>
    </row>
    <row r="1455" spans="1:19" x14ac:dyDescent="0.3">
      <c r="A1455" t="s">
        <v>1503</v>
      </c>
      <c r="B1455" t="s">
        <v>24</v>
      </c>
      <c r="C1455" t="s">
        <v>32</v>
      </c>
      <c r="D1455" s="5">
        <v>35112</v>
      </c>
      <c r="E1455" s="4">
        <v>8125.5</v>
      </c>
      <c r="F1455" t="s">
        <v>33</v>
      </c>
      <c r="G1455">
        <v>42</v>
      </c>
      <c r="H1455" s="1">
        <f t="shared" si="22"/>
        <v>46843</v>
      </c>
      <c r="I1455" t="s">
        <v>15</v>
      </c>
      <c r="J1455" s="1">
        <v>45541</v>
      </c>
      <c r="K1455" t="s">
        <v>101</v>
      </c>
      <c r="L1455" s="3">
        <v>0.1661</v>
      </c>
      <c r="M1455" t="s">
        <v>29</v>
      </c>
      <c r="N1455" t="s">
        <v>30</v>
      </c>
      <c r="O1455">
        <v>0</v>
      </c>
      <c r="P1455" s="1">
        <v>46022</v>
      </c>
      <c r="R1455" s="7"/>
      <c r="S1455" s="7"/>
    </row>
    <row r="1456" spans="1:19" x14ac:dyDescent="0.3">
      <c r="A1456" t="s">
        <v>1504</v>
      </c>
      <c r="B1456" t="s">
        <v>12</v>
      </c>
      <c r="C1456" t="s">
        <v>13</v>
      </c>
      <c r="D1456" s="5">
        <v>19757139</v>
      </c>
      <c r="E1456">
        <v>18655831.57</v>
      </c>
      <c r="F1456" t="s">
        <v>14</v>
      </c>
      <c r="G1456">
        <v>228</v>
      </c>
      <c r="H1456" s="1">
        <f t="shared" si="22"/>
        <v>49918</v>
      </c>
      <c r="I1456" t="s">
        <v>15</v>
      </c>
      <c r="J1456" s="1">
        <v>42956</v>
      </c>
      <c r="K1456" t="s">
        <v>35</v>
      </c>
      <c r="L1456" s="3">
        <v>3.78E-2</v>
      </c>
      <c r="M1456" t="s">
        <v>29</v>
      </c>
      <c r="N1456" t="s">
        <v>30</v>
      </c>
      <c r="O1456">
        <v>0</v>
      </c>
      <c r="P1456" s="1">
        <v>46022</v>
      </c>
      <c r="R1456" s="7"/>
      <c r="S1456" s="7"/>
    </row>
    <row r="1457" spans="1:19" x14ac:dyDescent="0.3">
      <c r="A1457" t="s">
        <v>1505</v>
      </c>
      <c r="B1457" t="s">
        <v>24</v>
      </c>
      <c r="C1457" t="s">
        <v>32</v>
      </c>
      <c r="D1457" s="5">
        <v>41270</v>
      </c>
      <c r="E1457">
        <v>38210.910000000003</v>
      </c>
      <c r="F1457" t="s">
        <v>33</v>
      </c>
      <c r="G1457">
        <v>168</v>
      </c>
      <c r="H1457" s="1">
        <f t="shared" si="22"/>
        <v>50071</v>
      </c>
      <c r="I1457" t="s">
        <v>15</v>
      </c>
      <c r="J1457" s="1">
        <v>44950</v>
      </c>
      <c r="K1457" t="s">
        <v>39</v>
      </c>
      <c r="L1457" s="3">
        <v>9.8699999999999996E-2</v>
      </c>
      <c r="M1457" t="s">
        <v>29</v>
      </c>
      <c r="N1457" t="s">
        <v>30</v>
      </c>
      <c r="O1457">
        <v>0</v>
      </c>
      <c r="P1457" s="1">
        <v>46022</v>
      </c>
      <c r="R1457" s="7"/>
      <c r="S1457" s="7"/>
    </row>
    <row r="1458" spans="1:19" x14ac:dyDescent="0.3">
      <c r="A1458" t="s">
        <v>1506</v>
      </c>
      <c r="B1458" t="s">
        <v>12</v>
      </c>
      <c r="C1458" t="s">
        <v>63</v>
      </c>
      <c r="D1458" s="5">
        <v>33316028</v>
      </c>
      <c r="E1458">
        <v>29941848.550000001</v>
      </c>
      <c r="F1458" t="s">
        <v>33</v>
      </c>
      <c r="G1458">
        <v>60</v>
      </c>
      <c r="H1458" s="1">
        <f t="shared" si="22"/>
        <v>45077</v>
      </c>
      <c r="I1458" t="s">
        <v>15</v>
      </c>
      <c r="J1458" s="1">
        <v>43238</v>
      </c>
      <c r="K1458" t="s">
        <v>81</v>
      </c>
      <c r="L1458" s="3">
        <v>1.83E-2</v>
      </c>
      <c r="M1458" t="s">
        <v>17</v>
      </c>
      <c r="N1458" t="s">
        <v>42</v>
      </c>
      <c r="O1458">
        <v>51971800.060000002</v>
      </c>
      <c r="P1458" s="1">
        <v>46022</v>
      </c>
      <c r="R1458" s="7"/>
      <c r="S1458" s="7"/>
    </row>
    <row r="1459" spans="1:19" x14ac:dyDescent="0.3">
      <c r="A1459" t="s">
        <v>1507</v>
      </c>
      <c r="B1459" t="s">
        <v>24</v>
      </c>
      <c r="C1459" t="s">
        <v>25</v>
      </c>
      <c r="D1459" s="5">
        <v>816617</v>
      </c>
      <c r="E1459">
        <v>541327.53</v>
      </c>
      <c r="F1459" t="s">
        <v>14</v>
      </c>
      <c r="G1459">
        <v>120</v>
      </c>
      <c r="H1459" s="1">
        <f t="shared" si="22"/>
        <v>47026</v>
      </c>
      <c r="I1459" t="s">
        <v>15</v>
      </c>
      <c r="J1459" s="1">
        <v>43354</v>
      </c>
      <c r="K1459" t="s">
        <v>22</v>
      </c>
      <c r="L1459" s="3">
        <v>5.5399999999999998E-2</v>
      </c>
      <c r="M1459" t="s">
        <v>17</v>
      </c>
      <c r="N1459" t="s">
        <v>26</v>
      </c>
      <c r="O1459">
        <v>1162476.72</v>
      </c>
      <c r="P1459" s="1">
        <v>46022</v>
      </c>
      <c r="R1459" s="7"/>
      <c r="S1459" s="7"/>
    </row>
    <row r="1460" spans="1:19" x14ac:dyDescent="0.3">
      <c r="A1460" t="s">
        <v>1508</v>
      </c>
      <c r="B1460" t="s">
        <v>20</v>
      </c>
      <c r="C1460" t="s">
        <v>21</v>
      </c>
      <c r="D1460" s="5">
        <v>1396133</v>
      </c>
      <c r="E1460">
        <v>1155218.1499999999</v>
      </c>
      <c r="F1460" t="s">
        <v>48</v>
      </c>
      <c r="G1460">
        <v>264</v>
      </c>
      <c r="H1460" s="1">
        <f t="shared" si="22"/>
        <v>48822</v>
      </c>
      <c r="I1460" t="s">
        <v>15</v>
      </c>
      <c r="J1460" s="1">
        <v>40766</v>
      </c>
      <c r="K1460" t="s">
        <v>16</v>
      </c>
      <c r="L1460" s="3">
        <v>0.1036</v>
      </c>
      <c r="M1460" t="s">
        <v>17</v>
      </c>
      <c r="N1460" t="s">
        <v>42</v>
      </c>
      <c r="O1460">
        <v>2204038.7200000002</v>
      </c>
      <c r="P1460" s="1">
        <v>46022</v>
      </c>
      <c r="R1460" s="7"/>
      <c r="S1460" s="7"/>
    </row>
    <row r="1461" spans="1:19" x14ac:dyDescent="0.3">
      <c r="A1461" t="s">
        <v>1509</v>
      </c>
      <c r="B1461" t="s">
        <v>24</v>
      </c>
      <c r="C1461" t="s">
        <v>32</v>
      </c>
      <c r="D1461" s="5">
        <v>34926</v>
      </c>
      <c r="E1461">
        <v>5662.6</v>
      </c>
      <c r="F1461" t="s">
        <v>33</v>
      </c>
      <c r="G1461">
        <v>186</v>
      </c>
      <c r="H1461" s="1">
        <f t="shared" si="22"/>
        <v>46783</v>
      </c>
      <c r="I1461" t="s">
        <v>15</v>
      </c>
      <c r="J1461" s="1">
        <v>41115</v>
      </c>
      <c r="K1461" t="s">
        <v>22</v>
      </c>
      <c r="L1461" s="3">
        <v>4.5599999999999995E-2</v>
      </c>
      <c r="M1461" t="s">
        <v>29</v>
      </c>
      <c r="N1461" t="s">
        <v>30</v>
      </c>
      <c r="O1461">
        <v>0</v>
      </c>
      <c r="P1461" s="1">
        <v>46022</v>
      </c>
      <c r="R1461" s="7"/>
      <c r="S1461" s="7"/>
    </row>
    <row r="1462" spans="1:19" x14ac:dyDescent="0.3">
      <c r="A1462" t="s">
        <v>1510</v>
      </c>
      <c r="B1462" t="s">
        <v>37</v>
      </c>
      <c r="C1462" t="s">
        <v>144</v>
      </c>
      <c r="D1462" s="5">
        <v>139390373</v>
      </c>
      <c r="E1462">
        <v>55938769.579999998</v>
      </c>
      <c r="F1462" t="s">
        <v>48</v>
      </c>
      <c r="G1462">
        <v>282</v>
      </c>
      <c r="H1462" s="1">
        <f t="shared" si="22"/>
        <v>53723</v>
      </c>
      <c r="I1462" t="s">
        <v>15</v>
      </c>
      <c r="J1462" s="1">
        <v>45119</v>
      </c>
      <c r="K1462" t="s">
        <v>35</v>
      </c>
      <c r="L1462" s="3">
        <v>6.8900000000000003E-2</v>
      </c>
      <c r="M1462" t="s">
        <v>17</v>
      </c>
      <c r="N1462" t="s">
        <v>18</v>
      </c>
      <c r="O1462">
        <v>248357502.30000001</v>
      </c>
      <c r="P1462" s="1">
        <v>46022</v>
      </c>
      <c r="R1462" s="7"/>
      <c r="S1462" s="7"/>
    </row>
    <row r="1463" spans="1:19" x14ac:dyDescent="0.3">
      <c r="A1463" t="s">
        <v>1511</v>
      </c>
      <c r="B1463" t="s">
        <v>24</v>
      </c>
      <c r="C1463" t="s">
        <v>32</v>
      </c>
      <c r="D1463" s="5">
        <v>47014</v>
      </c>
      <c r="E1463">
        <v>17975.13</v>
      </c>
      <c r="F1463" t="s">
        <v>33</v>
      </c>
      <c r="G1463">
        <v>252</v>
      </c>
      <c r="H1463" s="1">
        <f t="shared" si="22"/>
        <v>50374</v>
      </c>
      <c r="I1463" t="s">
        <v>15</v>
      </c>
      <c r="J1463" s="1">
        <v>42697</v>
      </c>
      <c r="K1463" t="s">
        <v>39</v>
      </c>
      <c r="L1463" s="3">
        <v>6.5299999999999997E-2</v>
      </c>
      <c r="M1463" t="s">
        <v>29</v>
      </c>
      <c r="N1463" t="s">
        <v>30</v>
      </c>
      <c r="O1463">
        <v>0</v>
      </c>
      <c r="P1463" s="1">
        <v>46022</v>
      </c>
      <c r="R1463" s="7"/>
      <c r="S1463" s="7"/>
    </row>
    <row r="1464" spans="1:19" x14ac:dyDescent="0.3">
      <c r="A1464" t="s">
        <v>1512</v>
      </c>
      <c r="B1464" t="s">
        <v>37</v>
      </c>
      <c r="C1464" t="s">
        <v>78</v>
      </c>
      <c r="D1464" s="5">
        <v>321823398</v>
      </c>
      <c r="E1464">
        <v>216291323.5</v>
      </c>
      <c r="F1464" t="s">
        <v>33</v>
      </c>
      <c r="G1464">
        <v>348</v>
      </c>
      <c r="H1464" s="1">
        <f t="shared" si="22"/>
        <v>56035</v>
      </c>
      <c r="I1464" t="s">
        <v>15</v>
      </c>
      <c r="J1464" s="1">
        <v>45429</v>
      </c>
      <c r="K1464" t="s">
        <v>39</v>
      </c>
      <c r="L1464" s="3">
        <v>9.4299999999999995E-2</v>
      </c>
      <c r="M1464" t="s">
        <v>17</v>
      </c>
      <c r="N1464" t="s">
        <v>42</v>
      </c>
      <c r="O1464">
        <v>620049972.70000005</v>
      </c>
      <c r="P1464" s="1">
        <v>46022</v>
      </c>
      <c r="R1464" s="7"/>
      <c r="S1464" s="7"/>
    </row>
    <row r="1465" spans="1:19" x14ac:dyDescent="0.3">
      <c r="A1465" t="s">
        <v>1513</v>
      </c>
      <c r="B1465" t="s">
        <v>24</v>
      </c>
      <c r="C1465" t="s">
        <v>28</v>
      </c>
      <c r="D1465" s="5">
        <v>16901</v>
      </c>
      <c r="E1465">
        <v>7104.57</v>
      </c>
      <c r="F1465" t="s">
        <v>33</v>
      </c>
      <c r="G1465">
        <v>120</v>
      </c>
      <c r="H1465" s="1">
        <f t="shared" si="22"/>
        <v>49064</v>
      </c>
      <c r="I1465" t="s">
        <v>15</v>
      </c>
      <c r="J1465" s="1">
        <v>45398</v>
      </c>
      <c r="K1465" t="s">
        <v>39</v>
      </c>
      <c r="L1465" s="3">
        <v>8.8300000000000003E-2</v>
      </c>
      <c r="M1465" t="s">
        <v>29</v>
      </c>
      <c r="N1465" t="s">
        <v>30</v>
      </c>
      <c r="O1465">
        <v>0</v>
      </c>
      <c r="P1465" s="1">
        <v>46022</v>
      </c>
      <c r="R1465" s="7"/>
      <c r="S1465" s="7"/>
    </row>
    <row r="1466" spans="1:19" x14ac:dyDescent="0.3">
      <c r="A1466" t="s">
        <v>1514</v>
      </c>
      <c r="B1466" t="s">
        <v>24</v>
      </c>
      <c r="C1466" t="s">
        <v>25</v>
      </c>
      <c r="D1466" s="5">
        <v>342561</v>
      </c>
      <c r="E1466">
        <v>80041.39</v>
      </c>
      <c r="F1466" t="s">
        <v>14</v>
      </c>
      <c r="G1466">
        <v>114</v>
      </c>
      <c r="H1466" s="1">
        <f t="shared" si="22"/>
        <v>48760</v>
      </c>
      <c r="I1466" t="s">
        <v>15</v>
      </c>
      <c r="J1466" s="1">
        <v>45261</v>
      </c>
      <c r="K1466" t="s">
        <v>22</v>
      </c>
      <c r="L1466" s="3">
        <v>7.4999999999999997E-2</v>
      </c>
      <c r="M1466" t="s">
        <v>17</v>
      </c>
      <c r="N1466" t="s">
        <v>26</v>
      </c>
      <c r="O1466">
        <v>472316.32</v>
      </c>
      <c r="P1466" s="1">
        <v>46022</v>
      </c>
      <c r="R1466" s="7"/>
      <c r="S1466" s="7"/>
    </row>
    <row r="1467" spans="1:19" x14ac:dyDescent="0.3">
      <c r="A1467" t="s">
        <v>1515</v>
      </c>
      <c r="B1467" t="s">
        <v>37</v>
      </c>
      <c r="C1467" t="s">
        <v>74</v>
      </c>
      <c r="D1467" s="5">
        <v>103554027</v>
      </c>
      <c r="E1467">
        <v>65945313.369999997</v>
      </c>
      <c r="F1467" t="s">
        <v>33</v>
      </c>
      <c r="G1467">
        <v>288</v>
      </c>
      <c r="H1467" s="1">
        <f t="shared" si="22"/>
        <v>50921</v>
      </c>
      <c r="I1467" t="s">
        <v>15</v>
      </c>
      <c r="J1467" s="1">
        <v>42131</v>
      </c>
      <c r="K1467" t="s">
        <v>22</v>
      </c>
      <c r="L1467" s="3">
        <v>4.1100000000000005E-2</v>
      </c>
      <c r="M1467" t="s">
        <v>17</v>
      </c>
      <c r="N1467" t="s">
        <v>26</v>
      </c>
      <c r="O1467">
        <v>171282283.59999999</v>
      </c>
      <c r="P1467" s="1">
        <v>46022</v>
      </c>
      <c r="R1467" s="7"/>
      <c r="S1467" s="7"/>
    </row>
    <row r="1468" spans="1:19" x14ac:dyDescent="0.3">
      <c r="A1468" t="s">
        <v>1516</v>
      </c>
      <c r="B1468" t="s">
        <v>24</v>
      </c>
      <c r="C1468" t="s">
        <v>41</v>
      </c>
      <c r="D1468" s="5">
        <v>72518</v>
      </c>
      <c r="E1468" s="4">
        <v>60403.29</v>
      </c>
      <c r="F1468" t="s">
        <v>14</v>
      </c>
      <c r="G1468">
        <v>360</v>
      </c>
      <c r="H1468" s="1">
        <f t="shared" si="22"/>
        <v>51348</v>
      </c>
      <c r="I1468" t="s">
        <v>15</v>
      </c>
      <c r="J1468" s="1">
        <v>40387</v>
      </c>
      <c r="K1468" t="s">
        <v>101</v>
      </c>
      <c r="L1468" s="3">
        <v>0.14710000000000001</v>
      </c>
      <c r="M1468" t="s">
        <v>17</v>
      </c>
      <c r="N1468" t="s">
        <v>42</v>
      </c>
      <c r="O1468">
        <v>74631.92</v>
      </c>
      <c r="P1468" s="1">
        <v>46022</v>
      </c>
      <c r="R1468" s="7"/>
      <c r="S1468" s="7"/>
    </row>
    <row r="1469" spans="1:19" x14ac:dyDescent="0.3">
      <c r="A1469" t="s">
        <v>1517</v>
      </c>
      <c r="B1469" t="s">
        <v>24</v>
      </c>
      <c r="C1469" t="s">
        <v>28</v>
      </c>
      <c r="D1469" s="5">
        <v>11717</v>
      </c>
      <c r="E1469">
        <v>5201.34</v>
      </c>
      <c r="F1469" t="s">
        <v>48</v>
      </c>
      <c r="G1469">
        <v>66</v>
      </c>
      <c r="H1469" s="1">
        <f t="shared" si="22"/>
        <v>45107</v>
      </c>
      <c r="I1469" t="s">
        <v>15</v>
      </c>
      <c r="J1469" s="1">
        <v>43073</v>
      </c>
      <c r="K1469" t="s">
        <v>16</v>
      </c>
      <c r="L1469" s="3">
        <v>9.0399999999999994E-2</v>
      </c>
      <c r="M1469" t="s">
        <v>29</v>
      </c>
      <c r="N1469" t="s">
        <v>30</v>
      </c>
      <c r="O1469">
        <v>0</v>
      </c>
      <c r="P1469" s="1">
        <v>46022</v>
      </c>
      <c r="R1469" s="7"/>
      <c r="S1469" s="7"/>
    </row>
    <row r="1470" spans="1:19" x14ac:dyDescent="0.3">
      <c r="A1470" t="s">
        <v>1518</v>
      </c>
      <c r="B1470" t="s">
        <v>24</v>
      </c>
      <c r="C1470" t="s">
        <v>28</v>
      </c>
      <c r="D1470" s="5">
        <v>30170</v>
      </c>
      <c r="E1470">
        <v>6608.46</v>
      </c>
      <c r="F1470" t="s">
        <v>48</v>
      </c>
      <c r="G1470">
        <v>240</v>
      </c>
      <c r="H1470" s="1">
        <f t="shared" si="22"/>
        <v>51805</v>
      </c>
      <c r="I1470" t="s">
        <v>15</v>
      </c>
      <c r="J1470" s="1">
        <v>44494</v>
      </c>
      <c r="K1470" t="s">
        <v>22</v>
      </c>
      <c r="L1470" s="3">
        <v>3.5000000000000003E-2</v>
      </c>
      <c r="M1470" t="s">
        <v>29</v>
      </c>
      <c r="N1470" t="s">
        <v>30</v>
      </c>
      <c r="O1470">
        <v>0</v>
      </c>
      <c r="P1470" s="1">
        <v>46022</v>
      </c>
      <c r="R1470" s="7"/>
      <c r="S1470" s="7"/>
    </row>
    <row r="1471" spans="1:19" x14ac:dyDescent="0.3">
      <c r="A1471" t="s">
        <v>1519</v>
      </c>
      <c r="B1471" t="s">
        <v>24</v>
      </c>
      <c r="C1471" t="s">
        <v>25</v>
      </c>
      <c r="D1471" s="5">
        <v>338172</v>
      </c>
      <c r="E1471">
        <v>93680.06</v>
      </c>
      <c r="F1471" t="s">
        <v>14</v>
      </c>
      <c r="G1471">
        <v>60</v>
      </c>
      <c r="H1471" s="1">
        <f t="shared" si="22"/>
        <v>45077</v>
      </c>
      <c r="I1471" t="s">
        <v>15</v>
      </c>
      <c r="J1471" s="1">
        <v>43240</v>
      </c>
      <c r="K1471" t="s">
        <v>39</v>
      </c>
      <c r="L1471" s="3">
        <v>6.3600000000000004E-2</v>
      </c>
      <c r="M1471" t="s">
        <v>17</v>
      </c>
      <c r="N1471" t="s">
        <v>26</v>
      </c>
      <c r="O1471">
        <v>397946.36</v>
      </c>
      <c r="P1471" s="1">
        <v>46022</v>
      </c>
      <c r="R1471" s="7"/>
      <c r="S1471" s="7"/>
    </row>
    <row r="1472" spans="1:19" x14ac:dyDescent="0.3">
      <c r="A1472" t="s">
        <v>1520</v>
      </c>
      <c r="B1472" t="s">
        <v>24</v>
      </c>
      <c r="C1472" t="s">
        <v>28</v>
      </c>
      <c r="D1472" s="5">
        <v>33436</v>
      </c>
      <c r="E1472">
        <v>10490.19</v>
      </c>
      <c r="F1472" t="s">
        <v>14</v>
      </c>
      <c r="G1472">
        <v>138</v>
      </c>
      <c r="H1472" s="1">
        <f t="shared" si="22"/>
        <v>47817</v>
      </c>
      <c r="I1472" t="s">
        <v>15</v>
      </c>
      <c r="J1472" s="1">
        <v>43592</v>
      </c>
      <c r="K1472" t="s">
        <v>22</v>
      </c>
      <c r="L1472" s="3">
        <v>4.2800000000000005E-2</v>
      </c>
      <c r="M1472" t="s">
        <v>29</v>
      </c>
      <c r="N1472" t="s">
        <v>30</v>
      </c>
      <c r="O1472">
        <v>0</v>
      </c>
      <c r="P1472" s="1">
        <v>46022</v>
      </c>
      <c r="R1472" s="7"/>
      <c r="S1472" s="7"/>
    </row>
    <row r="1473" spans="1:19" x14ac:dyDescent="0.3">
      <c r="A1473" t="s">
        <v>1521</v>
      </c>
      <c r="B1473" t="s">
        <v>20</v>
      </c>
      <c r="C1473" t="s">
        <v>51</v>
      </c>
      <c r="D1473" s="5">
        <v>4083952</v>
      </c>
      <c r="E1473">
        <v>1510685.71</v>
      </c>
      <c r="F1473" t="s">
        <v>14</v>
      </c>
      <c r="G1473">
        <v>60</v>
      </c>
      <c r="H1473" s="1">
        <f t="shared" si="22"/>
        <v>47299</v>
      </c>
      <c r="I1473" t="s">
        <v>15</v>
      </c>
      <c r="J1473" s="1">
        <v>45447</v>
      </c>
      <c r="K1473" t="s">
        <v>22</v>
      </c>
      <c r="L1473" s="3">
        <v>6.5299999999999997E-2</v>
      </c>
      <c r="M1473" t="s">
        <v>17</v>
      </c>
      <c r="N1473" t="s">
        <v>26</v>
      </c>
      <c r="O1473">
        <v>7096091.8799999999</v>
      </c>
      <c r="P1473" s="1">
        <v>46022</v>
      </c>
      <c r="R1473" s="7"/>
      <c r="S1473" s="7"/>
    </row>
    <row r="1474" spans="1:19" x14ac:dyDescent="0.3">
      <c r="A1474" t="s">
        <v>1522</v>
      </c>
      <c r="B1474" t="s">
        <v>24</v>
      </c>
      <c r="C1474" t="s">
        <v>32</v>
      </c>
      <c r="D1474" s="5">
        <v>39123</v>
      </c>
      <c r="E1474">
        <v>26545.73</v>
      </c>
      <c r="F1474" t="s">
        <v>33</v>
      </c>
      <c r="G1474">
        <v>138</v>
      </c>
      <c r="H1474" s="1">
        <f t="shared" ref="H1474:H1501" si="23">EOMONTH(J1474,G1474)</f>
        <v>46843</v>
      </c>
      <c r="I1474" t="s">
        <v>15</v>
      </c>
      <c r="J1474" s="1">
        <v>42621</v>
      </c>
      <c r="K1474" t="s">
        <v>35</v>
      </c>
      <c r="L1474" s="3">
        <v>3.7100000000000001E-2</v>
      </c>
      <c r="M1474" t="s">
        <v>29</v>
      </c>
      <c r="N1474" t="s">
        <v>30</v>
      </c>
      <c r="O1474">
        <v>0</v>
      </c>
      <c r="P1474" s="1">
        <v>46022</v>
      </c>
      <c r="R1474" s="7"/>
      <c r="S1474" s="7"/>
    </row>
    <row r="1475" spans="1:19" x14ac:dyDescent="0.3">
      <c r="A1475" t="s">
        <v>1523</v>
      </c>
      <c r="B1475" t="s">
        <v>12</v>
      </c>
      <c r="C1475" t="s">
        <v>26</v>
      </c>
      <c r="D1475" s="5">
        <v>38281715</v>
      </c>
      <c r="E1475">
        <v>24532873.030000001</v>
      </c>
      <c r="F1475" t="s">
        <v>14</v>
      </c>
      <c r="G1475">
        <v>60</v>
      </c>
      <c r="H1475" s="1">
        <f t="shared" si="23"/>
        <v>45504</v>
      </c>
      <c r="I1475" t="s">
        <v>15</v>
      </c>
      <c r="J1475" s="1">
        <v>43667</v>
      </c>
      <c r="K1475" t="s">
        <v>22</v>
      </c>
      <c r="L1475" s="3">
        <v>5.1100000000000007E-2</v>
      </c>
      <c r="M1475" t="s">
        <v>29</v>
      </c>
      <c r="N1475" t="s">
        <v>30</v>
      </c>
      <c r="O1475">
        <v>0</v>
      </c>
      <c r="P1475" s="1">
        <v>46022</v>
      </c>
      <c r="R1475" s="7"/>
      <c r="S1475" s="7"/>
    </row>
    <row r="1476" spans="1:19" x14ac:dyDescent="0.3">
      <c r="A1476" t="s">
        <v>1524</v>
      </c>
      <c r="B1476" t="s">
        <v>24</v>
      </c>
      <c r="C1476" t="s">
        <v>28</v>
      </c>
      <c r="D1476" s="5">
        <v>10198</v>
      </c>
      <c r="E1476">
        <v>7408.85</v>
      </c>
      <c r="F1476" t="s">
        <v>48</v>
      </c>
      <c r="G1476">
        <v>276</v>
      </c>
      <c r="H1476" s="1">
        <f t="shared" si="23"/>
        <v>52351</v>
      </c>
      <c r="I1476" t="s">
        <v>15</v>
      </c>
      <c r="J1476" s="1">
        <v>43936</v>
      </c>
      <c r="K1476" t="s">
        <v>22</v>
      </c>
      <c r="L1476" s="3">
        <v>3.5400000000000001E-2</v>
      </c>
      <c r="M1476" t="s">
        <v>29</v>
      </c>
      <c r="N1476" t="s">
        <v>30</v>
      </c>
      <c r="O1476">
        <v>0</v>
      </c>
      <c r="P1476" s="1">
        <v>46022</v>
      </c>
      <c r="R1476" s="7"/>
      <c r="S1476" s="7"/>
    </row>
    <row r="1477" spans="1:19" x14ac:dyDescent="0.3">
      <c r="A1477" t="s">
        <v>1525</v>
      </c>
      <c r="B1477" t="s">
        <v>37</v>
      </c>
      <c r="C1477" t="s">
        <v>38</v>
      </c>
      <c r="D1477" s="5">
        <v>53308624</v>
      </c>
      <c r="E1477">
        <v>22722896.199999999</v>
      </c>
      <c r="F1477" t="s">
        <v>14</v>
      </c>
      <c r="G1477">
        <v>204</v>
      </c>
      <c r="H1477" s="1">
        <f t="shared" si="23"/>
        <v>48548</v>
      </c>
      <c r="I1477" t="s">
        <v>15</v>
      </c>
      <c r="J1477" s="1">
        <v>42324</v>
      </c>
      <c r="K1477" t="s">
        <v>56</v>
      </c>
      <c r="L1477" s="3">
        <v>2.75E-2</v>
      </c>
      <c r="M1477" t="s">
        <v>29</v>
      </c>
      <c r="N1477" t="s">
        <v>30</v>
      </c>
      <c r="O1477">
        <v>0</v>
      </c>
      <c r="P1477" s="1">
        <v>46022</v>
      </c>
      <c r="R1477" s="7"/>
      <c r="S1477" s="7"/>
    </row>
    <row r="1478" spans="1:19" x14ac:dyDescent="0.3">
      <c r="A1478" t="s">
        <v>1526</v>
      </c>
      <c r="B1478" t="s">
        <v>12</v>
      </c>
      <c r="C1478" t="s">
        <v>61</v>
      </c>
      <c r="D1478" s="5">
        <v>35248493</v>
      </c>
      <c r="E1478">
        <v>29665056.879999999</v>
      </c>
      <c r="F1478" t="s">
        <v>33</v>
      </c>
      <c r="G1478">
        <v>252</v>
      </c>
      <c r="H1478" s="1">
        <f t="shared" si="23"/>
        <v>50739</v>
      </c>
      <c r="I1478" t="s">
        <v>15</v>
      </c>
      <c r="J1478" s="1">
        <v>43053</v>
      </c>
      <c r="K1478" t="s">
        <v>22</v>
      </c>
      <c r="L1478" s="3">
        <v>5.21E-2</v>
      </c>
      <c r="M1478" t="s">
        <v>17</v>
      </c>
      <c r="N1478" t="s">
        <v>26</v>
      </c>
      <c r="O1478">
        <v>47579098.619999997</v>
      </c>
      <c r="P1478" s="1">
        <v>46022</v>
      </c>
      <c r="R1478" s="7"/>
      <c r="S1478" s="7"/>
    </row>
    <row r="1479" spans="1:19" x14ac:dyDescent="0.3">
      <c r="A1479" t="s">
        <v>1527</v>
      </c>
      <c r="B1479" t="s">
        <v>24</v>
      </c>
      <c r="C1479" t="s">
        <v>28</v>
      </c>
      <c r="D1479" s="5">
        <v>19049</v>
      </c>
      <c r="E1479">
        <v>5403.8</v>
      </c>
      <c r="F1479" t="s">
        <v>33</v>
      </c>
      <c r="G1479">
        <v>114</v>
      </c>
      <c r="H1479" s="1">
        <f t="shared" si="23"/>
        <v>47269</v>
      </c>
      <c r="I1479" t="s">
        <v>15</v>
      </c>
      <c r="J1479" s="1">
        <v>43788</v>
      </c>
      <c r="K1479" t="s">
        <v>39</v>
      </c>
      <c r="L1479" s="3">
        <v>8.09E-2</v>
      </c>
      <c r="M1479" t="s">
        <v>29</v>
      </c>
      <c r="N1479" t="s">
        <v>30</v>
      </c>
      <c r="O1479">
        <v>0</v>
      </c>
      <c r="P1479" s="1">
        <v>46022</v>
      </c>
      <c r="R1479" s="7"/>
      <c r="S1479" s="7"/>
    </row>
    <row r="1480" spans="1:19" x14ac:dyDescent="0.3">
      <c r="A1480" t="s">
        <v>1528</v>
      </c>
      <c r="B1480" t="s">
        <v>24</v>
      </c>
      <c r="C1480" t="s">
        <v>41</v>
      </c>
      <c r="D1480" s="5">
        <v>48911</v>
      </c>
      <c r="E1480">
        <v>25538.31</v>
      </c>
      <c r="F1480" t="s">
        <v>14</v>
      </c>
      <c r="G1480">
        <v>348</v>
      </c>
      <c r="H1480" s="1">
        <f t="shared" si="23"/>
        <v>53052</v>
      </c>
      <c r="I1480" t="s">
        <v>15</v>
      </c>
      <c r="J1480" s="1">
        <v>42443</v>
      </c>
      <c r="K1480" t="s">
        <v>39</v>
      </c>
      <c r="L1480" s="3">
        <v>6.4500000000000002E-2</v>
      </c>
      <c r="M1480" t="s">
        <v>17</v>
      </c>
      <c r="N1480" t="s">
        <v>42</v>
      </c>
      <c r="O1480">
        <v>60817.17</v>
      </c>
      <c r="P1480" s="1">
        <v>46022</v>
      </c>
      <c r="R1480" s="7"/>
      <c r="S1480" s="7"/>
    </row>
    <row r="1481" spans="1:19" x14ac:dyDescent="0.3">
      <c r="A1481" t="s">
        <v>1529</v>
      </c>
      <c r="B1481" t="s">
        <v>20</v>
      </c>
      <c r="C1481" t="s">
        <v>21</v>
      </c>
      <c r="D1481" s="5">
        <v>204188</v>
      </c>
      <c r="E1481">
        <v>167606.68</v>
      </c>
      <c r="F1481" t="s">
        <v>48</v>
      </c>
      <c r="G1481">
        <v>60</v>
      </c>
      <c r="H1481" s="1">
        <f t="shared" si="23"/>
        <v>45688</v>
      </c>
      <c r="I1481" t="s">
        <v>15</v>
      </c>
      <c r="J1481" s="1">
        <v>43839</v>
      </c>
      <c r="K1481" t="s">
        <v>39</v>
      </c>
      <c r="L1481" s="3">
        <v>5.4699999999999999E-2</v>
      </c>
      <c r="M1481" t="s">
        <v>29</v>
      </c>
      <c r="N1481" t="s">
        <v>30</v>
      </c>
      <c r="O1481">
        <v>0</v>
      </c>
      <c r="P1481" s="1">
        <v>46022</v>
      </c>
      <c r="R1481" s="7"/>
      <c r="S1481" s="7"/>
    </row>
    <row r="1482" spans="1:19" x14ac:dyDescent="0.3">
      <c r="A1482" t="s">
        <v>1530</v>
      </c>
      <c r="B1482" t="s">
        <v>24</v>
      </c>
      <c r="C1482" t="s">
        <v>32</v>
      </c>
      <c r="D1482" s="5">
        <v>13719</v>
      </c>
      <c r="E1482">
        <v>3596.4</v>
      </c>
      <c r="F1482" t="s">
        <v>33</v>
      </c>
      <c r="G1482">
        <v>288</v>
      </c>
      <c r="H1482" s="1">
        <f t="shared" si="23"/>
        <v>49340</v>
      </c>
      <c r="I1482" t="s">
        <v>15</v>
      </c>
      <c r="J1482" s="1">
        <v>40556</v>
      </c>
      <c r="K1482" t="s">
        <v>16</v>
      </c>
      <c r="L1482" s="3">
        <v>9.6099999999999991E-2</v>
      </c>
      <c r="M1482" t="s">
        <v>29</v>
      </c>
      <c r="N1482" t="s">
        <v>30</v>
      </c>
      <c r="O1482">
        <v>0</v>
      </c>
      <c r="P1482" s="1">
        <v>46022</v>
      </c>
      <c r="R1482" s="7"/>
      <c r="S1482" s="7"/>
    </row>
    <row r="1483" spans="1:19" x14ac:dyDescent="0.3">
      <c r="A1483" t="s">
        <v>1531</v>
      </c>
      <c r="B1483" t="s">
        <v>24</v>
      </c>
      <c r="C1483" t="s">
        <v>25</v>
      </c>
      <c r="D1483" s="5">
        <v>130309</v>
      </c>
      <c r="E1483">
        <v>25915.39</v>
      </c>
      <c r="F1483" t="s">
        <v>14</v>
      </c>
      <c r="G1483">
        <v>306</v>
      </c>
      <c r="H1483" s="1">
        <f t="shared" si="23"/>
        <v>51532</v>
      </c>
      <c r="I1483" t="s">
        <v>15</v>
      </c>
      <c r="J1483" s="1">
        <v>42200</v>
      </c>
      <c r="K1483" t="s">
        <v>81</v>
      </c>
      <c r="L1483" s="3">
        <v>3.0800000000000001E-2</v>
      </c>
      <c r="M1483" t="s">
        <v>17</v>
      </c>
      <c r="N1483" t="s">
        <v>26</v>
      </c>
      <c r="O1483">
        <v>180565.24</v>
      </c>
      <c r="P1483" s="1">
        <v>46022</v>
      </c>
      <c r="R1483" s="7"/>
      <c r="S1483" s="7"/>
    </row>
    <row r="1484" spans="1:19" x14ac:dyDescent="0.3">
      <c r="A1484" t="s">
        <v>1532</v>
      </c>
      <c r="B1484" t="s">
        <v>20</v>
      </c>
      <c r="C1484" t="s">
        <v>21</v>
      </c>
      <c r="D1484" s="5">
        <v>4401970</v>
      </c>
      <c r="E1484">
        <v>3941151.9</v>
      </c>
      <c r="F1484" t="s">
        <v>14</v>
      </c>
      <c r="G1484">
        <v>108</v>
      </c>
      <c r="H1484" s="1">
        <f t="shared" si="23"/>
        <v>46053</v>
      </c>
      <c r="I1484" t="s">
        <v>15</v>
      </c>
      <c r="J1484" s="1">
        <v>42751</v>
      </c>
      <c r="K1484" t="s">
        <v>22</v>
      </c>
      <c r="L1484" s="3">
        <v>5.1799999999999999E-2</v>
      </c>
      <c r="M1484" t="s">
        <v>29</v>
      </c>
      <c r="N1484" t="s">
        <v>30</v>
      </c>
      <c r="O1484">
        <v>0</v>
      </c>
      <c r="P1484" s="1">
        <v>46022</v>
      </c>
      <c r="R1484" s="7"/>
      <c r="S1484" s="7"/>
    </row>
    <row r="1485" spans="1:19" x14ac:dyDescent="0.3">
      <c r="A1485" t="s">
        <v>1533</v>
      </c>
      <c r="B1485" t="s">
        <v>24</v>
      </c>
      <c r="C1485" t="s">
        <v>25</v>
      </c>
      <c r="D1485" s="5">
        <v>319057</v>
      </c>
      <c r="E1485">
        <v>130378.4</v>
      </c>
      <c r="F1485" t="s">
        <v>14</v>
      </c>
      <c r="G1485">
        <v>246</v>
      </c>
      <c r="H1485" s="1">
        <f t="shared" si="23"/>
        <v>49156</v>
      </c>
      <c r="I1485" t="s">
        <v>15</v>
      </c>
      <c r="J1485" s="1">
        <v>41642</v>
      </c>
      <c r="K1485" t="s">
        <v>39</v>
      </c>
      <c r="L1485" s="3">
        <v>7.400000000000001E-2</v>
      </c>
      <c r="M1485" t="s">
        <v>17</v>
      </c>
      <c r="N1485" t="s">
        <v>26</v>
      </c>
      <c r="O1485">
        <v>381727.77</v>
      </c>
      <c r="P1485" s="1">
        <v>46022</v>
      </c>
      <c r="R1485" s="7"/>
      <c r="S1485" s="7"/>
    </row>
    <row r="1486" spans="1:19" x14ac:dyDescent="0.3">
      <c r="A1486" t="s">
        <v>1534</v>
      </c>
      <c r="B1486" t="s">
        <v>24</v>
      </c>
      <c r="C1486" t="s">
        <v>28</v>
      </c>
      <c r="D1486" s="5">
        <v>28310</v>
      </c>
      <c r="E1486">
        <v>20254.98</v>
      </c>
      <c r="F1486" t="s">
        <v>33</v>
      </c>
      <c r="G1486">
        <v>288</v>
      </c>
      <c r="H1486" s="1">
        <f t="shared" si="23"/>
        <v>50860</v>
      </c>
      <c r="I1486" t="s">
        <v>15</v>
      </c>
      <c r="J1486" s="1">
        <v>42081</v>
      </c>
      <c r="K1486" t="s">
        <v>22</v>
      </c>
      <c r="L1486" s="3">
        <v>4.7599999999999996E-2</v>
      </c>
      <c r="M1486" t="s">
        <v>29</v>
      </c>
      <c r="N1486" t="s">
        <v>30</v>
      </c>
      <c r="O1486">
        <v>0</v>
      </c>
      <c r="P1486" s="1">
        <v>46022</v>
      </c>
      <c r="R1486" s="7"/>
      <c r="S1486" s="7"/>
    </row>
    <row r="1487" spans="1:19" x14ac:dyDescent="0.3">
      <c r="A1487" t="s">
        <v>1535</v>
      </c>
      <c r="B1487" t="s">
        <v>12</v>
      </c>
      <c r="C1487" t="s">
        <v>13</v>
      </c>
      <c r="D1487" s="5">
        <v>2909987</v>
      </c>
      <c r="E1487">
        <v>357386.36</v>
      </c>
      <c r="F1487" t="s">
        <v>48</v>
      </c>
      <c r="G1487">
        <v>270</v>
      </c>
      <c r="H1487" s="1">
        <f t="shared" si="23"/>
        <v>53751</v>
      </c>
      <c r="I1487" t="s">
        <v>15</v>
      </c>
      <c r="J1487" s="1">
        <v>45533</v>
      </c>
      <c r="K1487" t="s">
        <v>22</v>
      </c>
      <c r="L1487" s="3">
        <v>6.8400000000000002E-2</v>
      </c>
      <c r="M1487" t="s">
        <v>29</v>
      </c>
      <c r="N1487" t="s">
        <v>30</v>
      </c>
      <c r="O1487">
        <v>0</v>
      </c>
      <c r="P1487" s="1">
        <v>46022</v>
      </c>
      <c r="R1487" s="7"/>
      <c r="S1487" s="7"/>
    </row>
    <row r="1488" spans="1:19" x14ac:dyDescent="0.3">
      <c r="A1488" t="s">
        <v>1536</v>
      </c>
      <c r="B1488" t="s">
        <v>20</v>
      </c>
      <c r="C1488" t="s">
        <v>47</v>
      </c>
      <c r="D1488" s="5">
        <v>3350895</v>
      </c>
      <c r="E1488">
        <v>2416136.41</v>
      </c>
      <c r="F1488" t="s">
        <v>14</v>
      </c>
      <c r="G1488">
        <v>252</v>
      </c>
      <c r="H1488" s="1">
        <f t="shared" si="23"/>
        <v>48029</v>
      </c>
      <c r="I1488" t="s">
        <v>15</v>
      </c>
      <c r="J1488" s="1">
        <v>40357</v>
      </c>
      <c r="K1488" t="s">
        <v>35</v>
      </c>
      <c r="L1488" s="3">
        <v>5.0900000000000001E-2</v>
      </c>
      <c r="M1488" t="s">
        <v>29</v>
      </c>
      <c r="N1488" t="s">
        <v>30</v>
      </c>
      <c r="O1488">
        <v>0</v>
      </c>
      <c r="P1488" s="1">
        <v>46022</v>
      </c>
      <c r="R1488" s="7"/>
      <c r="S1488" s="7"/>
    </row>
    <row r="1489" spans="1:19" x14ac:dyDescent="0.3">
      <c r="A1489" t="s">
        <v>1537</v>
      </c>
      <c r="B1489" t="s">
        <v>24</v>
      </c>
      <c r="C1489" t="s">
        <v>32</v>
      </c>
      <c r="D1489" s="5">
        <v>16828</v>
      </c>
      <c r="E1489">
        <v>6470.35</v>
      </c>
      <c r="F1489" t="s">
        <v>33</v>
      </c>
      <c r="G1489">
        <v>150</v>
      </c>
      <c r="H1489" s="1">
        <f t="shared" si="23"/>
        <v>48091</v>
      </c>
      <c r="I1489" t="s">
        <v>15</v>
      </c>
      <c r="J1489" s="1">
        <v>43510</v>
      </c>
      <c r="K1489" t="s">
        <v>16</v>
      </c>
      <c r="L1489" s="3">
        <v>8.8900000000000007E-2</v>
      </c>
      <c r="M1489" t="s">
        <v>29</v>
      </c>
      <c r="N1489" t="s">
        <v>30</v>
      </c>
      <c r="O1489">
        <v>0</v>
      </c>
      <c r="P1489" s="1">
        <v>46022</v>
      </c>
      <c r="R1489" s="7"/>
      <c r="S1489" s="7"/>
    </row>
    <row r="1490" spans="1:19" x14ac:dyDescent="0.3">
      <c r="A1490" t="s">
        <v>1538</v>
      </c>
      <c r="B1490" t="s">
        <v>20</v>
      </c>
      <c r="C1490" t="s">
        <v>47</v>
      </c>
      <c r="D1490" s="5">
        <v>4494700</v>
      </c>
      <c r="E1490">
        <v>674954.57</v>
      </c>
      <c r="F1490" t="s">
        <v>33</v>
      </c>
      <c r="G1490">
        <v>312</v>
      </c>
      <c r="H1490" s="1">
        <f t="shared" si="23"/>
        <v>52139</v>
      </c>
      <c r="I1490" t="s">
        <v>15</v>
      </c>
      <c r="J1490" s="1">
        <v>42621</v>
      </c>
      <c r="K1490" t="s">
        <v>22</v>
      </c>
      <c r="L1490" s="3">
        <v>4.36E-2</v>
      </c>
      <c r="M1490" t="s">
        <v>29</v>
      </c>
      <c r="N1490" t="s">
        <v>30</v>
      </c>
      <c r="O1490">
        <v>0</v>
      </c>
      <c r="P1490" s="1">
        <v>46022</v>
      </c>
      <c r="R1490" s="7"/>
      <c r="S1490" s="7"/>
    </row>
    <row r="1491" spans="1:19" x14ac:dyDescent="0.3">
      <c r="A1491" t="s">
        <v>1539</v>
      </c>
      <c r="B1491" t="s">
        <v>24</v>
      </c>
      <c r="C1491" t="s">
        <v>41</v>
      </c>
      <c r="D1491" s="5">
        <v>89931</v>
      </c>
      <c r="E1491">
        <v>58349.83</v>
      </c>
      <c r="F1491" t="s">
        <v>14</v>
      </c>
      <c r="G1491">
        <v>84</v>
      </c>
      <c r="H1491" s="1">
        <f t="shared" si="23"/>
        <v>47817</v>
      </c>
      <c r="I1491" t="s">
        <v>15</v>
      </c>
      <c r="J1491" s="1">
        <v>45246</v>
      </c>
      <c r="K1491" t="s">
        <v>16</v>
      </c>
      <c r="L1491" s="3">
        <v>0.11599999999999999</v>
      </c>
      <c r="M1491" t="s">
        <v>17</v>
      </c>
      <c r="N1491" t="s">
        <v>42</v>
      </c>
      <c r="O1491">
        <v>97393.22</v>
      </c>
      <c r="P1491" s="1">
        <v>46022</v>
      </c>
      <c r="R1491" s="7"/>
      <c r="S1491" s="7"/>
    </row>
    <row r="1492" spans="1:19" x14ac:dyDescent="0.3">
      <c r="A1492" t="s">
        <v>1540</v>
      </c>
      <c r="B1492" t="s">
        <v>12</v>
      </c>
      <c r="C1492" t="s">
        <v>26</v>
      </c>
      <c r="D1492" s="5">
        <v>16939240</v>
      </c>
      <c r="E1492">
        <v>5365054.37</v>
      </c>
      <c r="F1492" t="s">
        <v>14</v>
      </c>
      <c r="G1492">
        <v>264</v>
      </c>
      <c r="H1492" s="1">
        <f t="shared" si="23"/>
        <v>49795</v>
      </c>
      <c r="I1492" t="s">
        <v>15</v>
      </c>
      <c r="J1492" s="1">
        <v>41752</v>
      </c>
      <c r="K1492" t="s">
        <v>22</v>
      </c>
      <c r="L1492" s="3">
        <v>5.4199999999999998E-2</v>
      </c>
      <c r="M1492" t="s">
        <v>17</v>
      </c>
      <c r="N1492" t="s">
        <v>26</v>
      </c>
      <c r="O1492">
        <v>32075166.210000001</v>
      </c>
      <c r="P1492" s="1">
        <v>46022</v>
      </c>
      <c r="R1492" s="7"/>
      <c r="S1492" s="7"/>
    </row>
    <row r="1493" spans="1:19" x14ac:dyDescent="0.3">
      <c r="A1493" t="s">
        <v>1541</v>
      </c>
      <c r="B1493" t="s">
        <v>24</v>
      </c>
      <c r="C1493" t="s">
        <v>28</v>
      </c>
      <c r="D1493" s="5">
        <v>45147</v>
      </c>
      <c r="E1493">
        <v>20231.599999999999</v>
      </c>
      <c r="F1493" t="s">
        <v>48</v>
      </c>
      <c r="G1493">
        <v>150</v>
      </c>
      <c r="H1493" s="1">
        <f t="shared" si="23"/>
        <v>49613</v>
      </c>
      <c r="I1493" t="s">
        <v>15</v>
      </c>
      <c r="J1493" s="1">
        <v>45027</v>
      </c>
      <c r="K1493" t="s">
        <v>39</v>
      </c>
      <c r="L1493" s="3">
        <v>9.1400000000000009E-2</v>
      </c>
      <c r="M1493" t="s">
        <v>29</v>
      </c>
      <c r="N1493" t="s">
        <v>30</v>
      </c>
      <c r="O1493">
        <v>0</v>
      </c>
      <c r="P1493" s="1">
        <v>46022</v>
      </c>
      <c r="R1493" s="7"/>
      <c r="S1493" s="7"/>
    </row>
    <row r="1494" spans="1:19" x14ac:dyDescent="0.3">
      <c r="A1494" t="s">
        <v>1542</v>
      </c>
      <c r="B1494" t="s">
        <v>24</v>
      </c>
      <c r="C1494" t="s">
        <v>25</v>
      </c>
      <c r="D1494" s="5">
        <v>996542</v>
      </c>
      <c r="E1494">
        <v>171926.13</v>
      </c>
      <c r="F1494" t="s">
        <v>14</v>
      </c>
      <c r="G1494">
        <v>114</v>
      </c>
      <c r="H1494" s="1">
        <f t="shared" si="23"/>
        <v>47452</v>
      </c>
      <c r="I1494" t="s">
        <v>15</v>
      </c>
      <c r="J1494" s="1">
        <v>43966</v>
      </c>
      <c r="K1494" t="s">
        <v>39</v>
      </c>
      <c r="L1494" s="3">
        <v>5.0199999999999995E-2</v>
      </c>
      <c r="M1494" t="s">
        <v>17</v>
      </c>
      <c r="N1494" t="s">
        <v>26</v>
      </c>
      <c r="O1494">
        <v>1196259.8</v>
      </c>
      <c r="P1494" s="1">
        <v>46022</v>
      </c>
      <c r="R1494" s="7"/>
      <c r="S1494" s="7"/>
    </row>
    <row r="1495" spans="1:19" x14ac:dyDescent="0.3">
      <c r="A1495" t="s">
        <v>1543</v>
      </c>
      <c r="B1495" t="s">
        <v>37</v>
      </c>
      <c r="C1495" t="s">
        <v>78</v>
      </c>
      <c r="D1495" s="5">
        <v>414453675</v>
      </c>
      <c r="E1495">
        <v>96338482.810000002</v>
      </c>
      <c r="F1495" t="s">
        <v>14</v>
      </c>
      <c r="G1495">
        <v>234</v>
      </c>
      <c r="H1495" s="1">
        <f t="shared" si="23"/>
        <v>49278</v>
      </c>
      <c r="I1495" t="s">
        <v>15</v>
      </c>
      <c r="J1495" s="1">
        <v>42125</v>
      </c>
      <c r="K1495" t="s">
        <v>39</v>
      </c>
      <c r="L1495" s="3">
        <v>6.6600000000000006E-2</v>
      </c>
      <c r="M1495" t="s">
        <v>29</v>
      </c>
      <c r="N1495" t="s">
        <v>30</v>
      </c>
      <c r="O1495">
        <v>0</v>
      </c>
      <c r="P1495" s="1">
        <v>46022</v>
      </c>
      <c r="R1495" s="7"/>
      <c r="S1495" s="7"/>
    </row>
    <row r="1496" spans="1:19" x14ac:dyDescent="0.3">
      <c r="A1496" t="s">
        <v>1544</v>
      </c>
      <c r="B1496" t="s">
        <v>37</v>
      </c>
      <c r="C1496" t="s">
        <v>144</v>
      </c>
      <c r="D1496" s="5">
        <v>423986960</v>
      </c>
      <c r="E1496">
        <v>156103312.19999999</v>
      </c>
      <c r="F1496" t="s">
        <v>48</v>
      </c>
      <c r="G1496">
        <v>330</v>
      </c>
      <c r="H1496" s="1">
        <f t="shared" si="23"/>
        <v>51195</v>
      </c>
      <c r="I1496" t="s">
        <v>15</v>
      </c>
      <c r="J1496" s="1">
        <v>41150</v>
      </c>
      <c r="K1496" t="s">
        <v>22</v>
      </c>
      <c r="L1496" s="3">
        <v>4.5599999999999995E-2</v>
      </c>
      <c r="M1496" t="s">
        <v>17</v>
      </c>
      <c r="N1496" t="s">
        <v>26</v>
      </c>
      <c r="O1496">
        <v>509807510.30000001</v>
      </c>
      <c r="P1496" s="1">
        <v>46022</v>
      </c>
      <c r="R1496" s="7"/>
      <c r="S1496" s="7"/>
    </row>
    <row r="1497" spans="1:19" x14ac:dyDescent="0.3">
      <c r="A1497" t="s">
        <v>1545</v>
      </c>
      <c r="B1497" t="s">
        <v>12</v>
      </c>
      <c r="C1497" t="s">
        <v>61</v>
      </c>
      <c r="D1497" s="5">
        <v>13201428</v>
      </c>
      <c r="E1497">
        <v>2386601.04</v>
      </c>
      <c r="F1497" t="s">
        <v>14</v>
      </c>
      <c r="G1497">
        <v>90</v>
      </c>
      <c r="H1497" s="1">
        <f t="shared" si="23"/>
        <v>47299</v>
      </c>
      <c r="I1497" t="s">
        <v>15</v>
      </c>
      <c r="J1497" s="1">
        <v>44546</v>
      </c>
      <c r="K1497" t="s">
        <v>22</v>
      </c>
      <c r="L1497" s="3">
        <v>4.0199999999999993E-2</v>
      </c>
      <c r="M1497" t="s">
        <v>17</v>
      </c>
      <c r="N1497" t="s">
        <v>42</v>
      </c>
      <c r="O1497">
        <v>17265230.629999999</v>
      </c>
      <c r="P1497" s="1">
        <v>46022</v>
      </c>
      <c r="R1497" s="7"/>
      <c r="S1497" s="7"/>
    </row>
    <row r="1498" spans="1:19" x14ac:dyDescent="0.3">
      <c r="A1498" t="s">
        <v>1546</v>
      </c>
      <c r="B1498" t="s">
        <v>12</v>
      </c>
      <c r="C1498" t="s">
        <v>13</v>
      </c>
      <c r="D1498" s="5">
        <v>29258418</v>
      </c>
      <c r="E1498">
        <v>26910243.399999999</v>
      </c>
      <c r="F1498" t="s">
        <v>33</v>
      </c>
      <c r="G1498">
        <v>96</v>
      </c>
      <c r="H1498" s="1">
        <f t="shared" si="23"/>
        <v>46022</v>
      </c>
      <c r="I1498" t="s">
        <v>15</v>
      </c>
      <c r="J1498" s="1">
        <v>43086</v>
      </c>
      <c r="K1498" t="s">
        <v>39</v>
      </c>
      <c r="L1498" s="3">
        <v>6.7299999999999999E-2</v>
      </c>
      <c r="M1498" t="s">
        <v>29</v>
      </c>
      <c r="N1498" t="s">
        <v>30</v>
      </c>
      <c r="O1498">
        <v>0</v>
      </c>
      <c r="P1498" s="1">
        <v>46022</v>
      </c>
      <c r="R1498" s="7"/>
      <c r="S1498" s="7"/>
    </row>
    <row r="1499" spans="1:19" x14ac:dyDescent="0.3">
      <c r="A1499" t="s">
        <v>1547</v>
      </c>
      <c r="B1499" t="s">
        <v>24</v>
      </c>
      <c r="C1499" t="s">
        <v>41</v>
      </c>
      <c r="D1499" s="5">
        <v>16053</v>
      </c>
      <c r="E1499">
        <v>1692.67</v>
      </c>
      <c r="F1499" t="s">
        <v>14</v>
      </c>
      <c r="G1499">
        <v>162</v>
      </c>
      <c r="H1499" s="1">
        <f t="shared" si="23"/>
        <v>46873</v>
      </c>
      <c r="I1499" t="s">
        <v>15</v>
      </c>
      <c r="J1499" s="1">
        <v>41921</v>
      </c>
      <c r="K1499" t="s">
        <v>22</v>
      </c>
      <c r="L1499" s="3">
        <v>4.4999999999999998E-2</v>
      </c>
      <c r="M1499" t="s">
        <v>17</v>
      </c>
      <c r="N1499" t="s">
        <v>42</v>
      </c>
      <c r="O1499">
        <v>18049.62</v>
      </c>
      <c r="P1499" s="1">
        <v>46022</v>
      </c>
      <c r="R1499" s="7"/>
      <c r="S1499" s="7"/>
    </row>
    <row r="1500" spans="1:19" x14ac:dyDescent="0.3">
      <c r="A1500" t="s">
        <v>1548</v>
      </c>
      <c r="B1500" t="s">
        <v>20</v>
      </c>
      <c r="C1500" t="s">
        <v>21</v>
      </c>
      <c r="D1500" s="5">
        <v>519844</v>
      </c>
      <c r="E1500">
        <v>278362.94</v>
      </c>
      <c r="F1500" t="s">
        <v>48</v>
      </c>
      <c r="G1500">
        <v>240</v>
      </c>
      <c r="H1500" s="1">
        <f t="shared" si="23"/>
        <v>47907</v>
      </c>
      <c r="I1500" t="s">
        <v>15</v>
      </c>
      <c r="J1500" s="1">
        <v>40575</v>
      </c>
      <c r="K1500" t="s">
        <v>22</v>
      </c>
      <c r="L1500" s="3">
        <v>5.8600000000000006E-2</v>
      </c>
      <c r="M1500" t="s">
        <v>17</v>
      </c>
      <c r="N1500" t="s">
        <v>26</v>
      </c>
      <c r="O1500">
        <v>742888.36</v>
      </c>
      <c r="P1500" s="1">
        <v>46022</v>
      </c>
      <c r="R1500" s="7"/>
      <c r="S1500" s="7"/>
    </row>
    <row r="1501" spans="1:19" x14ac:dyDescent="0.3">
      <c r="A1501" t="s">
        <v>1549</v>
      </c>
      <c r="B1501" t="s">
        <v>12</v>
      </c>
      <c r="C1501" t="s">
        <v>13</v>
      </c>
      <c r="D1501" s="5">
        <v>49945738</v>
      </c>
      <c r="E1501">
        <v>10534690.529999999</v>
      </c>
      <c r="F1501" t="s">
        <v>48</v>
      </c>
      <c r="G1501">
        <v>60</v>
      </c>
      <c r="H1501" s="1">
        <f t="shared" si="23"/>
        <v>45199</v>
      </c>
      <c r="I1501" t="s">
        <v>15</v>
      </c>
      <c r="J1501" s="1">
        <v>43359</v>
      </c>
      <c r="K1501" t="s">
        <v>56</v>
      </c>
      <c r="L1501" s="3">
        <v>4.5899999999999996E-2</v>
      </c>
      <c r="M1501" t="s">
        <v>17</v>
      </c>
      <c r="N1501" t="s">
        <v>42</v>
      </c>
      <c r="O1501">
        <v>61677261.140000001</v>
      </c>
      <c r="P1501" s="1">
        <v>46022</v>
      </c>
      <c r="R1501" s="7"/>
      <c r="S1501" s="7"/>
    </row>
    <row r="1502" spans="1:19" x14ac:dyDescent="0.3">
      <c r="H1502" s="1"/>
    </row>
    <row r="1503" spans="1:19" x14ac:dyDescent="0.3">
      <c r="H1503" s="1"/>
    </row>
    <row r="1506" spans="3:6" x14ac:dyDescent="0.3">
      <c r="C1506" s="2"/>
      <c r="D1506" s="2"/>
      <c r="E1506" s="2"/>
      <c r="F1506" s="6"/>
    </row>
    <row r="1508" spans="3:6" x14ac:dyDescent="0.3">
      <c r="F1508" s="1"/>
    </row>
    <row r="1509" spans="3:6" x14ac:dyDescent="0.3">
      <c r="F1509" s="1"/>
    </row>
    <row r="1510" spans="3:6" x14ac:dyDescent="0.3">
      <c r="F1510" s="1"/>
    </row>
    <row r="1511" spans="3:6" x14ac:dyDescent="0.3">
      <c r="F1511" s="1"/>
    </row>
    <row r="1512" spans="3:6" x14ac:dyDescent="0.3">
      <c r="F1512" s="1"/>
    </row>
    <row r="1513" spans="3:6" x14ac:dyDescent="0.3">
      <c r="F1513" s="1"/>
    </row>
    <row r="1514" spans="3:6" x14ac:dyDescent="0.3">
      <c r="F1514" s="1"/>
    </row>
    <row r="1515" spans="3:6" x14ac:dyDescent="0.3">
      <c r="F1515" s="1"/>
    </row>
    <row r="1516" spans="3:6" x14ac:dyDescent="0.3">
      <c r="F1516" s="1"/>
    </row>
    <row r="1517" spans="3:6" x14ac:dyDescent="0.3">
      <c r="F1517" s="1"/>
    </row>
    <row r="1518" spans="3:6" x14ac:dyDescent="0.3">
      <c r="F1518" s="1"/>
    </row>
    <row r="1519" spans="3:6" x14ac:dyDescent="0.3">
      <c r="F1519" s="1"/>
    </row>
    <row r="1520" spans="3:6" x14ac:dyDescent="0.3">
      <c r="F1520" s="1"/>
    </row>
    <row r="1521" spans="6:6" x14ac:dyDescent="0.3">
      <c r="F1521" s="1"/>
    </row>
    <row r="1522" spans="6:6" x14ac:dyDescent="0.3">
      <c r="F1522" s="1"/>
    </row>
    <row r="1523" spans="6:6" x14ac:dyDescent="0.3">
      <c r="F1523" s="1"/>
    </row>
    <row r="1524" spans="6:6" x14ac:dyDescent="0.3">
      <c r="F1524" s="1"/>
    </row>
    <row r="1525" spans="6:6" x14ac:dyDescent="0.3">
      <c r="F1525" s="1"/>
    </row>
    <row r="1526" spans="6:6" x14ac:dyDescent="0.3">
      <c r="F1526" s="1"/>
    </row>
    <row r="1527" spans="6:6" x14ac:dyDescent="0.3">
      <c r="F1527" s="1"/>
    </row>
    <row r="1528" spans="6:6" x14ac:dyDescent="0.3">
      <c r="F1528" s="1"/>
    </row>
    <row r="1529" spans="6:6" x14ac:dyDescent="0.3">
      <c r="F1529" s="1"/>
    </row>
    <row r="1530" spans="6:6" x14ac:dyDescent="0.3">
      <c r="F1530" s="1"/>
    </row>
    <row r="1531" spans="6:6" x14ac:dyDescent="0.3">
      <c r="F1531" s="1"/>
    </row>
    <row r="1532" spans="6:6" x14ac:dyDescent="0.3">
      <c r="F1532" s="1"/>
    </row>
    <row r="1533" spans="6:6" x14ac:dyDescent="0.3">
      <c r="F1533" s="1"/>
    </row>
    <row r="1534" spans="6:6" x14ac:dyDescent="0.3">
      <c r="F1534" s="1"/>
    </row>
    <row r="1535" spans="6:6" x14ac:dyDescent="0.3">
      <c r="F1535" s="1"/>
    </row>
    <row r="1536" spans="6:6" x14ac:dyDescent="0.3">
      <c r="F1536" s="1"/>
    </row>
    <row r="1537" spans="6:6" x14ac:dyDescent="0.3">
      <c r="F1537" s="1"/>
    </row>
    <row r="1538" spans="6:6" x14ac:dyDescent="0.3">
      <c r="F1538" s="1"/>
    </row>
    <row r="1539" spans="6:6" x14ac:dyDescent="0.3">
      <c r="F1539" s="1"/>
    </row>
    <row r="1540" spans="6:6" x14ac:dyDescent="0.3">
      <c r="F1540" s="1"/>
    </row>
    <row r="1541" spans="6:6" x14ac:dyDescent="0.3">
      <c r="F1541" s="1"/>
    </row>
    <row r="1542" spans="6:6" x14ac:dyDescent="0.3">
      <c r="F1542" s="1"/>
    </row>
    <row r="1543" spans="6:6" x14ac:dyDescent="0.3">
      <c r="F1543" s="1"/>
    </row>
    <row r="1544" spans="6:6" x14ac:dyDescent="0.3">
      <c r="F1544" s="1"/>
    </row>
    <row r="1545" spans="6:6" x14ac:dyDescent="0.3">
      <c r="F1545" s="1"/>
    </row>
    <row r="1546" spans="6:6" x14ac:dyDescent="0.3">
      <c r="F1546" s="1"/>
    </row>
    <row r="1547" spans="6:6" x14ac:dyDescent="0.3">
      <c r="F1547" s="1"/>
    </row>
    <row r="1548" spans="6:6" x14ac:dyDescent="0.3">
      <c r="F1548" s="1"/>
    </row>
    <row r="1549" spans="6:6" x14ac:dyDescent="0.3">
      <c r="F1549" s="1"/>
    </row>
    <row r="1550" spans="6:6" x14ac:dyDescent="0.3">
      <c r="F1550" s="1"/>
    </row>
    <row r="1551" spans="6:6" x14ac:dyDescent="0.3">
      <c r="F1551" s="1"/>
    </row>
    <row r="1552" spans="6:6" x14ac:dyDescent="0.3">
      <c r="F1552" s="1"/>
    </row>
    <row r="1553" spans="6:6" x14ac:dyDescent="0.3">
      <c r="F1553" s="1"/>
    </row>
    <row r="1554" spans="6:6" x14ac:dyDescent="0.3">
      <c r="F1554" s="1"/>
    </row>
    <row r="1555" spans="6:6" x14ac:dyDescent="0.3">
      <c r="F1555" s="1"/>
    </row>
    <row r="1556" spans="6:6" x14ac:dyDescent="0.3">
      <c r="F1556" s="1"/>
    </row>
    <row r="1557" spans="6:6" x14ac:dyDescent="0.3">
      <c r="F1557" s="1"/>
    </row>
    <row r="1558" spans="6:6" x14ac:dyDescent="0.3">
      <c r="F1558" s="1"/>
    </row>
    <row r="1559" spans="6:6" x14ac:dyDescent="0.3">
      <c r="F1559" s="1"/>
    </row>
    <row r="1560" spans="6:6" x14ac:dyDescent="0.3">
      <c r="F1560" s="1"/>
    </row>
    <row r="1561" spans="6:6" x14ac:dyDescent="0.3">
      <c r="F1561" s="1"/>
    </row>
    <row r="1562" spans="6:6" x14ac:dyDescent="0.3">
      <c r="F1562" s="1"/>
    </row>
    <row r="1563" spans="6:6" x14ac:dyDescent="0.3">
      <c r="F1563" s="1"/>
    </row>
    <row r="1564" spans="6:6" x14ac:dyDescent="0.3">
      <c r="F1564" s="1"/>
    </row>
    <row r="1565" spans="6:6" x14ac:dyDescent="0.3">
      <c r="F1565" s="1"/>
    </row>
    <row r="1566" spans="6:6" x14ac:dyDescent="0.3">
      <c r="F1566" s="1"/>
    </row>
    <row r="1567" spans="6:6" x14ac:dyDescent="0.3">
      <c r="F1567" s="1"/>
    </row>
    <row r="1568" spans="6:6" x14ac:dyDescent="0.3">
      <c r="F1568" s="1"/>
    </row>
    <row r="1569" spans="6:6" x14ac:dyDescent="0.3">
      <c r="F1569" s="1"/>
    </row>
    <row r="1570" spans="6:6" x14ac:dyDescent="0.3">
      <c r="F1570" s="1"/>
    </row>
    <row r="1571" spans="6:6" x14ac:dyDescent="0.3">
      <c r="F1571" s="1"/>
    </row>
    <row r="1572" spans="6:6" x14ac:dyDescent="0.3">
      <c r="F1572" s="1"/>
    </row>
    <row r="1573" spans="6:6" x14ac:dyDescent="0.3">
      <c r="F1573" s="1"/>
    </row>
    <row r="1574" spans="6:6" x14ac:dyDescent="0.3">
      <c r="F1574" s="1"/>
    </row>
    <row r="1575" spans="6:6" x14ac:dyDescent="0.3">
      <c r="F1575" s="1"/>
    </row>
    <row r="1576" spans="6:6" x14ac:dyDescent="0.3">
      <c r="F1576" s="1"/>
    </row>
    <row r="1577" spans="6:6" x14ac:dyDescent="0.3">
      <c r="F1577" s="1"/>
    </row>
    <row r="1578" spans="6:6" x14ac:dyDescent="0.3">
      <c r="F1578" s="1"/>
    </row>
    <row r="1579" spans="6:6" x14ac:dyDescent="0.3">
      <c r="F1579" s="1"/>
    </row>
    <row r="1580" spans="6:6" x14ac:dyDescent="0.3">
      <c r="F1580" s="1"/>
    </row>
    <row r="1581" spans="6:6" x14ac:dyDescent="0.3">
      <c r="F1581" s="1"/>
    </row>
    <row r="1582" spans="6:6" x14ac:dyDescent="0.3">
      <c r="F1582" s="1"/>
    </row>
    <row r="1583" spans="6:6" x14ac:dyDescent="0.3">
      <c r="F1583" s="1"/>
    </row>
    <row r="1584" spans="6:6" x14ac:dyDescent="0.3">
      <c r="F1584" s="1"/>
    </row>
    <row r="1585" spans="6:6" x14ac:dyDescent="0.3">
      <c r="F1585" s="1"/>
    </row>
    <row r="1586" spans="6:6" x14ac:dyDescent="0.3">
      <c r="F1586" s="1"/>
    </row>
    <row r="1587" spans="6:6" x14ac:dyDescent="0.3">
      <c r="F1587" s="1"/>
    </row>
    <row r="1588" spans="6:6" x14ac:dyDescent="0.3">
      <c r="F1588" s="1"/>
    </row>
    <row r="1589" spans="6:6" x14ac:dyDescent="0.3">
      <c r="F1589" s="1"/>
    </row>
    <row r="1590" spans="6:6" x14ac:dyDescent="0.3">
      <c r="F1590" s="1"/>
    </row>
    <row r="1591" spans="6:6" x14ac:dyDescent="0.3">
      <c r="F1591" s="1"/>
    </row>
    <row r="1592" spans="6:6" x14ac:dyDescent="0.3">
      <c r="F1592" s="1"/>
    </row>
    <row r="1593" spans="6:6" x14ac:dyDescent="0.3">
      <c r="F1593" s="1"/>
    </row>
    <row r="1594" spans="6:6" x14ac:dyDescent="0.3">
      <c r="F1594" s="1"/>
    </row>
    <row r="1595" spans="6:6" x14ac:dyDescent="0.3">
      <c r="F1595" s="1"/>
    </row>
    <row r="1596" spans="6:6" x14ac:dyDescent="0.3">
      <c r="F1596" s="1"/>
    </row>
    <row r="1597" spans="6:6" x14ac:dyDescent="0.3">
      <c r="F1597" s="1"/>
    </row>
    <row r="1598" spans="6:6" x14ac:dyDescent="0.3">
      <c r="F1598" s="1"/>
    </row>
    <row r="1599" spans="6:6" x14ac:dyDescent="0.3">
      <c r="F1599" s="1"/>
    </row>
    <row r="1600" spans="6:6" x14ac:dyDescent="0.3">
      <c r="F1600" s="1"/>
    </row>
    <row r="1601" spans="6:6" x14ac:dyDescent="0.3">
      <c r="F1601" s="1"/>
    </row>
    <row r="1602" spans="6:6" x14ac:dyDescent="0.3">
      <c r="F1602" s="1"/>
    </row>
    <row r="1603" spans="6:6" x14ac:dyDescent="0.3">
      <c r="F1603" s="1"/>
    </row>
    <row r="1604" spans="6:6" x14ac:dyDescent="0.3">
      <c r="F1604" s="1"/>
    </row>
    <row r="1605" spans="6:6" x14ac:dyDescent="0.3">
      <c r="F1605" s="1"/>
    </row>
    <row r="1606" spans="6:6" x14ac:dyDescent="0.3">
      <c r="F1606" s="1"/>
    </row>
    <row r="1607" spans="6:6" x14ac:dyDescent="0.3">
      <c r="F1607" s="1"/>
    </row>
    <row r="1608" spans="6:6" x14ac:dyDescent="0.3">
      <c r="F1608" s="1"/>
    </row>
    <row r="1609" spans="6:6" x14ac:dyDescent="0.3">
      <c r="F1609" s="1"/>
    </row>
    <row r="1610" spans="6:6" x14ac:dyDescent="0.3">
      <c r="F1610" s="1"/>
    </row>
    <row r="1611" spans="6:6" x14ac:dyDescent="0.3">
      <c r="F1611" s="1"/>
    </row>
    <row r="1612" spans="6:6" x14ac:dyDescent="0.3">
      <c r="F1612" s="1"/>
    </row>
    <row r="1613" spans="6:6" x14ac:dyDescent="0.3">
      <c r="F1613" s="1"/>
    </row>
    <row r="1614" spans="6:6" x14ac:dyDescent="0.3">
      <c r="F1614" s="1"/>
    </row>
    <row r="1615" spans="6:6" x14ac:dyDescent="0.3">
      <c r="F1615" s="1"/>
    </row>
    <row r="1616" spans="6:6" x14ac:dyDescent="0.3">
      <c r="F1616" s="1"/>
    </row>
    <row r="1617" spans="6:6" x14ac:dyDescent="0.3">
      <c r="F1617" s="1"/>
    </row>
    <row r="1618" spans="6:6" x14ac:dyDescent="0.3">
      <c r="F1618" s="1"/>
    </row>
    <row r="1619" spans="6:6" x14ac:dyDescent="0.3">
      <c r="F1619" s="1"/>
    </row>
    <row r="1620" spans="6:6" x14ac:dyDescent="0.3">
      <c r="F1620" s="1"/>
    </row>
    <row r="1621" spans="6:6" x14ac:dyDescent="0.3">
      <c r="F1621" s="1"/>
    </row>
    <row r="1622" spans="6:6" x14ac:dyDescent="0.3">
      <c r="F1622" s="1"/>
    </row>
    <row r="1623" spans="6:6" x14ac:dyDescent="0.3">
      <c r="F1623" s="1"/>
    </row>
    <row r="1624" spans="6:6" x14ac:dyDescent="0.3">
      <c r="F1624" s="1"/>
    </row>
    <row r="1625" spans="6:6" x14ac:dyDescent="0.3">
      <c r="F1625" s="1"/>
    </row>
    <row r="1626" spans="6:6" x14ac:dyDescent="0.3">
      <c r="F1626" s="1"/>
    </row>
    <row r="1627" spans="6:6" x14ac:dyDescent="0.3">
      <c r="F1627" s="1"/>
    </row>
    <row r="1628" spans="6:6" x14ac:dyDescent="0.3">
      <c r="F1628" s="1"/>
    </row>
    <row r="1629" spans="6:6" x14ac:dyDescent="0.3">
      <c r="F1629" s="1"/>
    </row>
    <row r="1630" spans="6:6" x14ac:dyDescent="0.3">
      <c r="F1630" s="1"/>
    </row>
    <row r="1631" spans="6:6" x14ac:dyDescent="0.3">
      <c r="F1631" s="1"/>
    </row>
    <row r="1632" spans="6:6" x14ac:dyDescent="0.3">
      <c r="F1632" s="1"/>
    </row>
    <row r="1633" spans="6:6" x14ac:dyDescent="0.3">
      <c r="F1633" s="1"/>
    </row>
    <row r="1634" spans="6:6" x14ac:dyDescent="0.3">
      <c r="F1634" s="1"/>
    </row>
    <row r="1635" spans="6:6" x14ac:dyDescent="0.3">
      <c r="F1635" s="1"/>
    </row>
    <row r="1636" spans="6:6" x14ac:dyDescent="0.3">
      <c r="F1636" s="1"/>
    </row>
    <row r="1637" spans="6:6" x14ac:dyDescent="0.3">
      <c r="F1637" s="1"/>
    </row>
    <row r="1638" spans="6:6" x14ac:dyDescent="0.3">
      <c r="F1638" s="1"/>
    </row>
    <row r="1639" spans="6:6" x14ac:dyDescent="0.3">
      <c r="F1639" s="1"/>
    </row>
    <row r="1640" spans="6:6" x14ac:dyDescent="0.3">
      <c r="F1640" s="1"/>
    </row>
    <row r="1641" spans="6:6" x14ac:dyDescent="0.3">
      <c r="F1641" s="1"/>
    </row>
    <row r="1642" spans="6:6" x14ac:dyDescent="0.3">
      <c r="F1642" s="1"/>
    </row>
    <row r="1643" spans="6:6" x14ac:dyDescent="0.3">
      <c r="F1643" s="1"/>
    </row>
    <row r="1644" spans="6:6" x14ac:dyDescent="0.3">
      <c r="F1644" s="1"/>
    </row>
    <row r="1645" spans="6:6" x14ac:dyDescent="0.3">
      <c r="F1645" s="1"/>
    </row>
    <row r="1646" spans="6:6" x14ac:dyDescent="0.3">
      <c r="F1646" s="1"/>
    </row>
    <row r="1647" spans="6:6" x14ac:dyDescent="0.3">
      <c r="F1647" s="1"/>
    </row>
    <row r="1648" spans="6:6" x14ac:dyDescent="0.3">
      <c r="F1648" s="1"/>
    </row>
    <row r="1649" spans="6:6" x14ac:dyDescent="0.3">
      <c r="F1649" s="1"/>
    </row>
    <row r="1650" spans="6:6" x14ac:dyDescent="0.3">
      <c r="F1650" s="1"/>
    </row>
    <row r="1651" spans="6:6" x14ac:dyDescent="0.3">
      <c r="F1651" s="1"/>
    </row>
    <row r="1652" spans="6:6" x14ac:dyDescent="0.3">
      <c r="F1652" s="1"/>
    </row>
    <row r="1653" spans="6:6" x14ac:dyDescent="0.3">
      <c r="F1653" s="1"/>
    </row>
    <row r="1654" spans="6:6" x14ac:dyDescent="0.3">
      <c r="F1654" s="1"/>
    </row>
    <row r="1655" spans="6:6" x14ac:dyDescent="0.3">
      <c r="F1655" s="1"/>
    </row>
    <row r="1656" spans="6:6" x14ac:dyDescent="0.3">
      <c r="F1656" s="1"/>
    </row>
    <row r="1657" spans="6:6" x14ac:dyDescent="0.3">
      <c r="F1657" s="1"/>
    </row>
    <row r="1658" spans="6:6" x14ac:dyDescent="0.3">
      <c r="F1658" s="1"/>
    </row>
    <row r="1659" spans="6:6" x14ac:dyDescent="0.3">
      <c r="F1659" s="1"/>
    </row>
    <row r="1660" spans="6:6" x14ac:dyDescent="0.3">
      <c r="F1660" s="1"/>
    </row>
    <row r="1661" spans="6:6" x14ac:dyDescent="0.3">
      <c r="F1661" s="1"/>
    </row>
    <row r="1662" spans="6:6" x14ac:dyDescent="0.3">
      <c r="F1662" s="1"/>
    </row>
    <row r="1663" spans="6:6" x14ac:dyDescent="0.3">
      <c r="F1663" s="1"/>
    </row>
    <row r="1664" spans="6:6" x14ac:dyDescent="0.3">
      <c r="F1664" s="1"/>
    </row>
    <row r="1665" spans="6:6" x14ac:dyDescent="0.3">
      <c r="F1665" s="1"/>
    </row>
    <row r="1666" spans="6:6" x14ac:dyDescent="0.3">
      <c r="F1666" s="1"/>
    </row>
    <row r="1667" spans="6:6" x14ac:dyDescent="0.3">
      <c r="F1667" s="1"/>
    </row>
    <row r="1668" spans="6:6" x14ac:dyDescent="0.3">
      <c r="F1668" s="1"/>
    </row>
    <row r="1669" spans="6:6" x14ac:dyDescent="0.3">
      <c r="F1669" s="1"/>
    </row>
    <row r="1670" spans="6:6" x14ac:dyDescent="0.3">
      <c r="F1670" s="1"/>
    </row>
    <row r="1671" spans="6:6" x14ac:dyDescent="0.3">
      <c r="F1671" s="1"/>
    </row>
    <row r="1672" spans="6:6" x14ac:dyDescent="0.3">
      <c r="F1672" s="1"/>
    </row>
    <row r="1673" spans="6:6" x14ac:dyDescent="0.3">
      <c r="F1673" s="1"/>
    </row>
    <row r="1674" spans="6:6" x14ac:dyDescent="0.3">
      <c r="F1674" s="1"/>
    </row>
    <row r="1675" spans="6:6" x14ac:dyDescent="0.3">
      <c r="F1675" s="1"/>
    </row>
    <row r="1676" spans="6:6" x14ac:dyDescent="0.3">
      <c r="F1676" s="1"/>
    </row>
    <row r="1677" spans="6:6" x14ac:dyDescent="0.3">
      <c r="F1677" s="1"/>
    </row>
    <row r="1678" spans="6:6" x14ac:dyDescent="0.3">
      <c r="F1678" s="1"/>
    </row>
    <row r="1679" spans="6:6" x14ac:dyDescent="0.3">
      <c r="F1679" s="1"/>
    </row>
    <row r="1680" spans="6:6" x14ac:dyDescent="0.3">
      <c r="F1680" s="1"/>
    </row>
    <row r="1681" spans="6:6" x14ac:dyDescent="0.3">
      <c r="F1681" s="1"/>
    </row>
    <row r="1682" spans="6:6" x14ac:dyDescent="0.3">
      <c r="F1682" s="1"/>
    </row>
    <row r="1683" spans="6:6" x14ac:dyDescent="0.3">
      <c r="F1683" s="1"/>
    </row>
    <row r="1684" spans="6:6" x14ac:dyDescent="0.3">
      <c r="F1684" s="1"/>
    </row>
    <row r="1685" spans="6:6" x14ac:dyDescent="0.3">
      <c r="F1685" s="1"/>
    </row>
    <row r="1686" spans="6:6" x14ac:dyDescent="0.3">
      <c r="F1686" s="1"/>
    </row>
    <row r="1687" spans="6:6" x14ac:dyDescent="0.3">
      <c r="F1687" s="1"/>
    </row>
    <row r="1688" spans="6:6" x14ac:dyDescent="0.3">
      <c r="F1688" s="1"/>
    </row>
    <row r="1689" spans="6:6" x14ac:dyDescent="0.3">
      <c r="F1689" s="1"/>
    </row>
    <row r="1690" spans="6:6" x14ac:dyDescent="0.3">
      <c r="F1690" s="1"/>
    </row>
    <row r="1691" spans="6:6" x14ac:dyDescent="0.3">
      <c r="F1691" s="1"/>
    </row>
    <row r="1692" spans="6:6" x14ac:dyDescent="0.3">
      <c r="F1692" s="1"/>
    </row>
    <row r="1693" spans="6:6" x14ac:dyDescent="0.3">
      <c r="F1693" s="1"/>
    </row>
    <row r="1694" spans="6:6" x14ac:dyDescent="0.3">
      <c r="F1694" s="1"/>
    </row>
    <row r="1695" spans="6:6" x14ac:dyDescent="0.3">
      <c r="F1695" s="1"/>
    </row>
    <row r="1696" spans="6:6" x14ac:dyDescent="0.3">
      <c r="F1696" s="1"/>
    </row>
    <row r="1697" spans="6:6" x14ac:dyDescent="0.3">
      <c r="F1697" s="1"/>
    </row>
    <row r="1698" spans="6:6" x14ac:dyDescent="0.3">
      <c r="F1698" s="1"/>
    </row>
    <row r="1699" spans="6:6" x14ac:dyDescent="0.3">
      <c r="F1699" s="1"/>
    </row>
    <row r="1700" spans="6:6" x14ac:dyDescent="0.3">
      <c r="F1700" s="1"/>
    </row>
    <row r="1701" spans="6:6" x14ac:dyDescent="0.3">
      <c r="F1701" s="1"/>
    </row>
    <row r="1702" spans="6:6" x14ac:dyDescent="0.3">
      <c r="F1702" s="1"/>
    </row>
    <row r="1703" spans="6:6" x14ac:dyDescent="0.3">
      <c r="F1703" s="1"/>
    </row>
    <row r="1704" spans="6:6" x14ac:dyDescent="0.3">
      <c r="F1704" s="1"/>
    </row>
    <row r="1705" spans="6:6" x14ac:dyDescent="0.3">
      <c r="F1705" s="1"/>
    </row>
    <row r="1706" spans="6:6" x14ac:dyDescent="0.3">
      <c r="F1706" s="1"/>
    </row>
    <row r="1707" spans="6:6" x14ac:dyDescent="0.3">
      <c r="F1707" s="1"/>
    </row>
    <row r="1708" spans="6:6" x14ac:dyDescent="0.3">
      <c r="F1708" s="1"/>
    </row>
    <row r="1709" spans="6:6" x14ac:dyDescent="0.3">
      <c r="F1709" s="1"/>
    </row>
    <row r="1710" spans="6:6" x14ac:dyDescent="0.3">
      <c r="F1710" s="1"/>
    </row>
    <row r="1711" spans="6:6" x14ac:dyDescent="0.3">
      <c r="F1711" s="1"/>
    </row>
    <row r="1712" spans="6:6" x14ac:dyDescent="0.3">
      <c r="F1712" s="1"/>
    </row>
    <row r="1713" spans="6:6" x14ac:dyDescent="0.3">
      <c r="F1713" s="1"/>
    </row>
    <row r="1714" spans="6:6" x14ac:dyDescent="0.3">
      <c r="F1714" s="1"/>
    </row>
    <row r="1715" spans="6:6" x14ac:dyDescent="0.3">
      <c r="F1715" s="1"/>
    </row>
    <row r="1716" spans="6:6" x14ac:dyDescent="0.3">
      <c r="F1716" s="1"/>
    </row>
    <row r="1717" spans="6:6" x14ac:dyDescent="0.3">
      <c r="F1717" s="1"/>
    </row>
    <row r="1718" spans="6:6" x14ac:dyDescent="0.3">
      <c r="F1718" s="1"/>
    </row>
    <row r="1719" spans="6:6" x14ac:dyDescent="0.3">
      <c r="F1719" s="1"/>
    </row>
    <row r="1720" spans="6:6" x14ac:dyDescent="0.3">
      <c r="F1720" s="1"/>
    </row>
    <row r="1721" spans="6:6" x14ac:dyDescent="0.3">
      <c r="F1721" s="1"/>
    </row>
    <row r="1722" spans="6:6" x14ac:dyDescent="0.3">
      <c r="F1722" s="1"/>
    </row>
    <row r="1723" spans="6:6" x14ac:dyDescent="0.3">
      <c r="F1723" s="1"/>
    </row>
    <row r="1724" spans="6:6" x14ac:dyDescent="0.3">
      <c r="F1724" s="1"/>
    </row>
    <row r="1725" spans="6:6" x14ac:dyDescent="0.3">
      <c r="F1725" s="1"/>
    </row>
    <row r="1726" spans="6:6" x14ac:dyDescent="0.3">
      <c r="F1726" s="1"/>
    </row>
    <row r="1727" spans="6:6" x14ac:dyDescent="0.3">
      <c r="F1727" s="1"/>
    </row>
    <row r="1728" spans="6:6" x14ac:dyDescent="0.3">
      <c r="F1728" s="1"/>
    </row>
    <row r="1729" spans="6:6" x14ac:dyDescent="0.3">
      <c r="F1729" s="1"/>
    </row>
    <row r="1730" spans="6:6" x14ac:dyDescent="0.3">
      <c r="F1730" s="1"/>
    </row>
    <row r="1731" spans="6:6" x14ac:dyDescent="0.3">
      <c r="F1731" s="1"/>
    </row>
    <row r="1732" spans="6:6" x14ac:dyDescent="0.3">
      <c r="F1732" s="1"/>
    </row>
    <row r="1733" spans="6:6" x14ac:dyDescent="0.3">
      <c r="F1733" s="1"/>
    </row>
    <row r="1734" spans="6:6" x14ac:dyDescent="0.3">
      <c r="F1734" s="1"/>
    </row>
    <row r="1735" spans="6:6" x14ac:dyDescent="0.3">
      <c r="F1735" s="1"/>
    </row>
    <row r="1736" spans="6:6" x14ac:dyDescent="0.3">
      <c r="F1736" s="1"/>
    </row>
    <row r="1737" spans="6:6" x14ac:dyDescent="0.3">
      <c r="F1737" s="1"/>
    </row>
    <row r="1738" spans="6:6" x14ac:dyDescent="0.3">
      <c r="F1738" s="1"/>
    </row>
    <row r="1739" spans="6:6" x14ac:dyDescent="0.3">
      <c r="F1739" s="1"/>
    </row>
    <row r="1740" spans="6:6" x14ac:dyDescent="0.3">
      <c r="F1740" s="1"/>
    </row>
    <row r="1741" spans="6:6" x14ac:dyDescent="0.3">
      <c r="F1741" s="1"/>
    </row>
    <row r="1742" spans="6:6" x14ac:dyDescent="0.3">
      <c r="F1742" s="1"/>
    </row>
    <row r="1743" spans="6:6" x14ac:dyDescent="0.3">
      <c r="F1743" s="1"/>
    </row>
    <row r="1744" spans="6:6" x14ac:dyDescent="0.3">
      <c r="F1744" s="1"/>
    </row>
    <row r="1745" spans="6:6" x14ac:dyDescent="0.3">
      <c r="F1745" s="1"/>
    </row>
    <row r="1746" spans="6:6" x14ac:dyDescent="0.3">
      <c r="F1746" s="1"/>
    </row>
    <row r="1747" spans="6:6" x14ac:dyDescent="0.3">
      <c r="F1747" s="1"/>
    </row>
    <row r="1748" spans="6:6" x14ac:dyDescent="0.3">
      <c r="F1748" s="1"/>
    </row>
    <row r="1749" spans="6:6" x14ac:dyDescent="0.3">
      <c r="F1749" s="1"/>
    </row>
    <row r="1750" spans="6:6" x14ac:dyDescent="0.3">
      <c r="F1750" s="1"/>
    </row>
    <row r="1751" spans="6:6" x14ac:dyDescent="0.3">
      <c r="F1751" s="1"/>
    </row>
    <row r="1752" spans="6:6" x14ac:dyDescent="0.3">
      <c r="F1752" s="1"/>
    </row>
    <row r="1753" spans="6:6" x14ac:dyDescent="0.3">
      <c r="F1753" s="1"/>
    </row>
    <row r="1754" spans="6:6" x14ac:dyDescent="0.3">
      <c r="F1754" s="1"/>
    </row>
    <row r="1755" spans="6:6" x14ac:dyDescent="0.3">
      <c r="F1755" s="1"/>
    </row>
    <row r="1756" spans="6:6" x14ac:dyDescent="0.3">
      <c r="F1756" s="1"/>
    </row>
    <row r="1757" spans="6:6" x14ac:dyDescent="0.3">
      <c r="F1757" s="1"/>
    </row>
    <row r="1758" spans="6:6" x14ac:dyDescent="0.3">
      <c r="F1758" s="1"/>
    </row>
    <row r="1759" spans="6:6" x14ac:dyDescent="0.3">
      <c r="F1759" s="1"/>
    </row>
    <row r="1760" spans="6:6" x14ac:dyDescent="0.3">
      <c r="F1760" s="1"/>
    </row>
    <row r="1761" spans="6:6" x14ac:dyDescent="0.3">
      <c r="F1761" s="1"/>
    </row>
    <row r="1762" spans="6:6" x14ac:dyDescent="0.3">
      <c r="F1762" s="1"/>
    </row>
    <row r="1763" spans="6:6" x14ac:dyDescent="0.3">
      <c r="F1763" s="1"/>
    </row>
    <row r="1764" spans="6:6" x14ac:dyDescent="0.3">
      <c r="F1764" s="1"/>
    </row>
    <row r="1765" spans="6:6" x14ac:dyDescent="0.3">
      <c r="F1765" s="1"/>
    </row>
    <row r="1766" spans="6:6" x14ac:dyDescent="0.3">
      <c r="F1766" s="1"/>
    </row>
    <row r="1767" spans="6:6" x14ac:dyDescent="0.3">
      <c r="F1767" s="1"/>
    </row>
    <row r="1768" spans="6:6" x14ac:dyDescent="0.3">
      <c r="F1768" s="1"/>
    </row>
    <row r="1769" spans="6:6" x14ac:dyDescent="0.3">
      <c r="F1769" s="1"/>
    </row>
    <row r="1770" spans="6:6" x14ac:dyDescent="0.3">
      <c r="F1770" s="1"/>
    </row>
    <row r="1771" spans="6:6" x14ac:dyDescent="0.3">
      <c r="F1771" s="1"/>
    </row>
    <row r="1772" spans="6:6" x14ac:dyDescent="0.3">
      <c r="F1772" s="1"/>
    </row>
    <row r="1773" spans="6:6" x14ac:dyDescent="0.3">
      <c r="F1773" s="1"/>
    </row>
    <row r="1774" spans="6:6" x14ac:dyDescent="0.3">
      <c r="F1774" s="1"/>
    </row>
    <row r="1775" spans="6:6" x14ac:dyDescent="0.3">
      <c r="F1775" s="1"/>
    </row>
    <row r="1776" spans="6:6" x14ac:dyDescent="0.3">
      <c r="F1776" s="1"/>
    </row>
    <row r="1777" spans="6:6" x14ac:dyDescent="0.3">
      <c r="F1777" s="1"/>
    </row>
    <row r="1778" spans="6:6" x14ac:dyDescent="0.3">
      <c r="F1778" s="1"/>
    </row>
    <row r="1779" spans="6:6" x14ac:dyDescent="0.3">
      <c r="F1779" s="1"/>
    </row>
    <row r="1780" spans="6:6" x14ac:dyDescent="0.3">
      <c r="F1780" s="1"/>
    </row>
    <row r="1781" spans="6:6" x14ac:dyDescent="0.3">
      <c r="F1781" s="1"/>
    </row>
    <row r="1782" spans="6:6" x14ac:dyDescent="0.3">
      <c r="F1782" s="1"/>
    </row>
    <row r="1783" spans="6:6" x14ac:dyDescent="0.3">
      <c r="F1783" s="1"/>
    </row>
    <row r="1784" spans="6:6" x14ac:dyDescent="0.3">
      <c r="F1784" s="1"/>
    </row>
    <row r="1785" spans="6:6" x14ac:dyDescent="0.3">
      <c r="F1785" s="1"/>
    </row>
    <row r="1786" spans="6:6" x14ac:dyDescent="0.3">
      <c r="F1786" s="1"/>
    </row>
    <row r="1787" spans="6:6" x14ac:dyDescent="0.3">
      <c r="F1787" s="1"/>
    </row>
    <row r="1788" spans="6:6" x14ac:dyDescent="0.3">
      <c r="F1788" s="1"/>
    </row>
    <row r="1789" spans="6:6" x14ac:dyDescent="0.3">
      <c r="F1789" s="1"/>
    </row>
    <row r="1790" spans="6:6" x14ac:dyDescent="0.3">
      <c r="F1790" s="1"/>
    </row>
    <row r="1791" spans="6:6" x14ac:dyDescent="0.3">
      <c r="F1791" s="1"/>
    </row>
    <row r="1792" spans="6:6" x14ac:dyDescent="0.3">
      <c r="F1792" s="1"/>
    </row>
    <row r="1793" spans="6:6" x14ac:dyDescent="0.3">
      <c r="F1793" s="1"/>
    </row>
    <row r="1794" spans="6:6" x14ac:dyDescent="0.3">
      <c r="F1794" s="1"/>
    </row>
    <row r="1795" spans="6:6" x14ac:dyDescent="0.3">
      <c r="F1795" s="1"/>
    </row>
    <row r="1796" spans="6:6" x14ac:dyDescent="0.3">
      <c r="F1796" s="1"/>
    </row>
    <row r="1797" spans="6:6" x14ac:dyDescent="0.3">
      <c r="F1797" s="1"/>
    </row>
    <row r="1798" spans="6:6" x14ac:dyDescent="0.3">
      <c r="F1798" s="1"/>
    </row>
    <row r="1799" spans="6:6" x14ac:dyDescent="0.3">
      <c r="F1799" s="1"/>
    </row>
    <row r="1800" spans="6:6" x14ac:dyDescent="0.3">
      <c r="F1800" s="1"/>
    </row>
    <row r="1801" spans="6:6" x14ac:dyDescent="0.3">
      <c r="F1801" s="1"/>
    </row>
    <row r="1802" spans="6:6" x14ac:dyDescent="0.3">
      <c r="F1802" s="1"/>
    </row>
    <row r="1803" spans="6:6" x14ac:dyDescent="0.3">
      <c r="F1803" s="1"/>
    </row>
    <row r="1804" spans="6:6" x14ac:dyDescent="0.3">
      <c r="F1804" s="1"/>
    </row>
    <row r="1805" spans="6:6" x14ac:dyDescent="0.3">
      <c r="F1805" s="1"/>
    </row>
    <row r="1806" spans="6:6" x14ac:dyDescent="0.3">
      <c r="F1806" s="1"/>
    </row>
    <row r="1807" spans="6:6" x14ac:dyDescent="0.3">
      <c r="F1807" s="1"/>
    </row>
    <row r="1808" spans="6:6" x14ac:dyDescent="0.3">
      <c r="F1808" s="1"/>
    </row>
    <row r="1809" spans="6:6" x14ac:dyDescent="0.3">
      <c r="F1809" s="1"/>
    </row>
    <row r="1810" spans="6:6" x14ac:dyDescent="0.3">
      <c r="F1810" s="1"/>
    </row>
    <row r="1811" spans="6:6" x14ac:dyDescent="0.3">
      <c r="F1811" s="1"/>
    </row>
    <row r="1812" spans="6:6" x14ac:dyDescent="0.3">
      <c r="F1812" s="1"/>
    </row>
    <row r="1813" spans="6:6" x14ac:dyDescent="0.3">
      <c r="F1813" s="1"/>
    </row>
    <row r="1814" spans="6:6" x14ac:dyDescent="0.3">
      <c r="F1814" s="1"/>
    </row>
    <row r="1815" spans="6:6" x14ac:dyDescent="0.3">
      <c r="F1815" s="1"/>
    </row>
    <row r="1816" spans="6:6" x14ac:dyDescent="0.3">
      <c r="F1816" s="1"/>
    </row>
    <row r="1817" spans="6:6" x14ac:dyDescent="0.3">
      <c r="F1817" s="1"/>
    </row>
    <row r="1818" spans="6:6" x14ac:dyDescent="0.3">
      <c r="F1818" s="1"/>
    </row>
    <row r="1819" spans="6:6" x14ac:dyDescent="0.3">
      <c r="F1819" s="1"/>
    </row>
    <row r="1820" spans="6:6" x14ac:dyDescent="0.3">
      <c r="F1820" s="1"/>
    </row>
    <row r="1821" spans="6:6" x14ac:dyDescent="0.3">
      <c r="F1821" s="1"/>
    </row>
    <row r="1822" spans="6:6" x14ac:dyDescent="0.3">
      <c r="F1822" s="1"/>
    </row>
    <row r="1823" spans="6:6" x14ac:dyDescent="0.3">
      <c r="F1823" s="1"/>
    </row>
    <row r="1824" spans="6:6" x14ac:dyDescent="0.3">
      <c r="F1824" s="1"/>
    </row>
    <row r="1825" spans="6:6" x14ac:dyDescent="0.3">
      <c r="F1825" s="1"/>
    </row>
    <row r="1826" spans="6:6" x14ac:dyDescent="0.3">
      <c r="F1826" s="1"/>
    </row>
    <row r="1827" spans="6:6" x14ac:dyDescent="0.3">
      <c r="F1827" s="1"/>
    </row>
    <row r="1828" spans="6:6" x14ac:dyDescent="0.3">
      <c r="F1828" s="1"/>
    </row>
    <row r="1829" spans="6:6" x14ac:dyDescent="0.3">
      <c r="F1829" s="1"/>
    </row>
    <row r="1830" spans="6:6" x14ac:dyDescent="0.3">
      <c r="F1830" s="1"/>
    </row>
    <row r="1831" spans="6:6" x14ac:dyDescent="0.3">
      <c r="F1831" s="1"/>
    </row>
    <row r="1832" spans="6:6" x14ac:dyDescent="0.3">
      <c r="F1832" s="1"/>
    </row>
    <row r="1833" spans="6:6" x14ac:dyDescent="0.3">
      <c r="F1833" s="1"/>
    </row>
    <row r="1834" spans="6:6" x14ac:dyDescent="0.3">
      <c r="F1834" s="1"/>
    </row>
    <row r="1835" spans="6:6" x14ac:dyDescent="0.3">
      <c r="F1835" s="1"/>
    </row>
    <row r="1836" spans="6:6" x14ac:dyDescent="0.3">
      <c r="F1836" s="1"/>
    </row>
    <row r="1837" spans="6:6" x14ac:dyDescent="0.3">
      <c r="F1837" s="1"/>
    </row>
    <row r="1838" spans="6:6" x14ac:dyDescent="0.3">
      <c r="F1838" s="1"/>
    </row>
    <row r="1839" spans="6:6" x14ac:dyDescent="0.3">
      <c r="F1839" s="1"/>
    </row>
    <row r="1840" spans="6:6" x14ac:dyDescent="0.3">
      <c r="F1840" s="1"/>
    </row>
    <row r="1841" spans="6:6" x14ac:dyDescent="0.3">
      <c r="F1841" s="1"/>
    </row>
    <row r="1842" spans="6:6" x14ac:dyDescent="0.3">
      <c r="F1842" s="1"/>
    </row>
    <row r="1843" spans="6:6" x14ac:dyDescent="0.3">
      <c r="F1843" s="1"/>
    </row>
    <row r="1844" spans="6:6" x14ac:dyDescent="0.3">
      <c r="F1844" s="1"/>
    </row>
    <row r="1845" spans="6:6" x14ac:dyDescent="0.3">
      <c r="F1845" s="1"/>
    </row>
    <row r="1846" spans="6:6" x14ac:dyDescent="0.3">
      <c r="F1846" s="1"/>
    </row>
    <row r="1847" spans="6:6" x14ac:dyDescent="0.3">
      <c r="F1847" s="1"/>
    </row>
    <row r="1848" spans="6:6" x14ac:dyDescent="0.3">
      <c r="F1848" s="1"/>
    </row>
    <row r="1849" spans="6:6" x14ac:dyDescent="0.3">
      <c r="F1849" s="1"/>
    </row>
    <row r="1850" spans="6:6" x14ac:dyDescent="0.3">
      <c r="F1850" s="1"/>
    </row>
    <row r="1851" spans="6:6" x14ac:dyDescent="0.3">
      <c r="F1851" s="1"/>
    </row>
    <row r="1852" spans="6:6" x14ac:dyDescent="0.3">
      <c r="F1852" s="1"/>
    </row>
    <row r="1853" spans="6:6" x14ac:dyDescent="0.3">
      <c r="F1853" s="1"/>
    </row>
    <row r="1854" spans="6:6" x14ac:dyDescent="0.3">
      <c r="F1854" s="1"/>
    </row>
    <row r="1855" spans="6:6" x14ac:dyDescent="0.3">
      <c r="F1855" s="1"/>
    </row>
    <row r="1856" spans="6:6" x14ac:dyDescent="0.3">
      <c r="F1856" s="1"/>
    </row>
    <row r="1857" spans="6:6" x14ac:dyDescent="0.3">
      <c r="F1857" s="1"/>
    </row>
    <row r="1858" spans="6:6" x14ac:dyDescent="0.3">
      <c r="F1858" s="1"/>
    </row>
    <row r="1859" spans="6:6" x14ac:dyDescent="0.3">
      <c r="F1859" s="1"/>
    </row>
    <row r="1860" spans="6:6" x14ac:dyDescent="0.3">
      <c r="F1860" s="1"/>
    </row>
    <row r="1861" spans="6:6" x14ac:dyDescent="0.3">
      <c r="F1861" s="1"/>
    </row>
    <row r="1862" spans="6:6" x14ac:dyDescent="0.3">
      <c r="F1862" s="1"/>
    </row>
    <row r="1863" spans="6:6" x14ac:dyDescent="0.3">
      <c r="F1863" s="1"/>
    </row>
    <row r="1864" spans="6:6" x14ac:dyDescent="0.3">
      <c r="F1864" s="1"/>
    </row>
    <row r="1865" spans="6:6" x14ac:dyDescent="0.3">
      <c r="F1865" s="1"/>
    </row>
    <row r="1866" spans="6:6" x14ac:dyDescent="0.3">
      <c r="F1866" s="1"/>
    </row>
    <row r="1867" spans="6:6" x14ac:dyDescent="0.3">
      <c r="F1867" s="1"/>
    </row>
    <row r="1868" spans="6:6" x14ac:dyDescent="0.3">
      <c r="F1868" s="1"/>
    </row>
    <row r="1869" spans="6:6" x14ac:dyDescent="0.3">
      <c r="F1869" s="1"/>
    </row>
    <row r="1870" spans="6:6" x14ac:dyDescent="0.3">
      <c r="F1870" s="1"/>
    </row>
    <row r="1871" spans="6:6" x14ac:dyDescent="0.3">
      <c r="F1871" s="1"/>
    </row>
    <row r="1872" spans="6:6" x14ac:dyDescent="0.3">
      <c r="F1872" s="1"/>
    </row>
    <row r="1873" spans="6:6" x14ac:dyDescent="0.3">
      <c r="F1873" s="1"/>
    </row>
    <row r="1874" spans="6:6" x14ac:dyDescent="0.3">
      <c r="F1874" s="1"/>
    </row>
    <row r="1875" spans="6:6" x14ac:dyDescent="0.3">
      <c r="F1875" s="1"/>
    </row>
    <row r="1876" spans="6:6" x14ac:dyDescent="0.3">
      <c r="F1876" s="1"/>
    </row>
    <row r="1877" spans="6:6" x14ac:dyDescent="0.3">
      <c r="F1877" s="1"/>
    </row>
    <row r="1878" spans="6:6" x14ac:dyDescent="0.3">
      <c r="F1878" s="1"/>
    </row>
    <row r="1879" spans="6:6" x14ac:dyDescent="0.3">
      <c r="F1879" s="1"/>
    </row>
    <row r="1880" spans="6:6" x14ac:dyDescent="0.3">
      <c r="F1880" s="1"/>
    </row>
    <row r="1881" spans="6:6" x14ac:dyDescent="0.3">
      <c r="F1881" s="1"/>
    </row>
    <row r="1882" spans="6:6" x14ac:dyDescent="0.3">
      <c r="F1882" s="1"/>
    </row>
    <row r="1883" spans="6:6" x14ac:dyDescent="0.3">
      <c r="F1883" s="1"/>
    </row>
    <row r="1884" spans="6:6" x14ac:dyDescent="0.3">
      <c r="F1884" s="1"/>
    </row>
    <row r="1885" spans="6:6" x14ac:dyDescent="0.3">
      <c r="F1885" s="1"/>
    </row>
    <row r="1886" spans="6:6" x14ac:dyDescent="0.3">
      <c r="F1886" s="1"/>
    </row>
    <row r="1887" spans="6:6" x14ac:dyDescent="0.3">
      <c r="F1887" s="1"/>
    </row>
    <row r="1888" spans="6:6" x14ac:dyDescent="0.3">
      <c r="F1888" s="1"/>
    </row>
    <row r="1889" spans="6:6" x14ac:dyDescent="0.3">
      <c r="F1889" s="1"/>
    </row>
    <row r="1890" spans="6:6" x14ac:dyDescent="0.3">
      <c r="F1890" s="1"/>
    </row>
    <row r="1891" spans="6:6" x14ac:dyDescent="0.3">
      <c r="F1891" s="1"/>
    </row>
    <row r="1892" spans="6:6" x14ac:dyDescent="0.3">
      <c r="F1892" s="1"/>
    </row>
    <row r="1893" spans="6:6" x14ac:dyDescent="0.3">
      <c r="F1893" s="1"/>
    </row>
    <row r="1894" spans="6:6" x14ac:dyDescent="0.3">
      <c r="F1894" s="1"/>
    </row>
    <row r="1895" spans="6:6" x14ac:dyDescent="0.3">
      <c r="F1895" s="1"/>
    </row>
    <row r="1896" spans="6:6" x14ac:dyDescent="0.3">
      <c r="F1896" s="1"/>
    </row>
    <row r="1897" spans="6:6" x14ac:dyDescent="0.3">
      <c r="F1897" s="1"/>
    </row>
    <row r="1898" spans="6:6" x14ac:dyDescent="0.3">
      <c r="F1898" s="1"/>
    </row>
    <row r="1899" spans="6:6" x14ac:dyDescent="0.3">
      <c r="F1899" s="1"/>
    </row>
    <row r="1900" spans="6:6" x14ac:dyDescent="0.3">
      <c r="F1900" s="1"/>
    </row>
    <row r="1901" spans="6:6" x14ac:dyDescent="0.3">
      <c r="F1901" s="1"/>
    </row>
    <row r="1902" spans="6:6" x14ac:dyDescent="0.3">
      <c r="F1902" s="1"/>
    </row>
    <row r="1903" spans="6:6" x14ac:dyDescent="0.3">
      <c r="F1903" s="1"/>
    </row>
    <row r="1904" spans="6:6" x14ac:dyDescent="0.3">
      <c r="F1904" s="1"/>
    </row>
    <row r="1905" spans="6:6" x14ac:dyDescent="0.3">
      <c r="F1905" s="1"/>
    </row>
    <row r="1906" spans="6:6" x14ac:dyDescent="0.3">
      <c r="F1906" s="1"/>
    </row>
    <row r="1907" spans="6:6" x14ac:dyDescent="0.3">
      <c r="F1907" s="1"/>
    </row>
    <row r="1908" spans="6:6" x14ac:dyDescent="0.3">
      <c r="F1908" s="1"/>
    </row>
    <row r="1909" spans="6:6" x14ac:dyDescent="0.3">
      <c r="F1909" s="1"/>
    </row>
    <row r="1910" spans="6:6" x14ac:dyDescent="0.3">
      <c r="F1910" s="1"/>
    </row>
    <row r="1911" spans="6:6" x14ac:dyDescent="0.3">
      <c r="F1911" s="1"/>
    </row>
    <row r="1912" spans="6:6" x14ac:dyDescent="0.3">
      <c r="F1912" s="1"/>
    </row>
    <row r="1913" spans="6:6" x14ac:dyDescent="0.3">
      <c r="F1913" s="1"/>
    </row>
    <row r="1914" spans="6:6" x14ac:dyDescent="0.3">
      <c r="F1914" s="1"/>
    </row>
    <row r="1915" spans="6:6" x14ac:dyDescent="0.3">
      <c r="F1915" s="1"/>
    </row>
    <row r="1916" spans="6:6" x14ac:dyDescent="0.3">
      <c r="F1916" s="1"/>
    </row>
    <row r="1917" spans="6:6" x14ac:dyDescent="0.3">
      <c r="F1917" s="1"/>
    </row>
    <row r="1918" spans="6:6" x14ac:dyDescent="0.3">
      <c r="F1918" s="1"/>
    </row>
    <row r="1919" spans="6:6" x14ac:dyDescent="0.3">
      <c r="F1919" s="1"/>
    </row>
    <row r="1920" spans="6:6" x14ac:dyDescent="0.3">
      <c r="F1920" s="1"/>
    </row>
    <row r="1921" spans="6:6" x14ac:dyDescent="0.3">
      <c r="F1921" s="1"/>
    </row>
    <row r="1922" spans="6:6" x14ac:dyDescent="0.3">
      <c r="F1922" s="1"/>
    </row>
    <row r="1923" spans="6:6" x14ac:dyDescent="0.3">
      <c r="F1923" s="1"/>
    </row>
    <row r="1924" spans="6:6" x14ac:dyDescent="0.3">
      <c r="F1924" s="1"/>
    </row>
    <row r="1925" spans="6:6" x14ac:dyDescent="0.3">
      <c r="F1925" s="1"/>
    </row>
    <row r="1926" spans="6:6" x14ac:dyDescent="0.3">
      <c r="F1926" s="1"/>
    </row>
    <row r="1927" spans="6:6" x14ac:dyDescent="0.3">
      <c r="F1927" s="1"/>
    </row>
    <row r="1928" spans="6:6" x14ac:dyDescent="0.3">
      <c r="F1928" s="1"/>
    </row>
    <row r="1929" spans="6:6" x14ac:dyDescent="0.3">
      <c r="F1929" s="1"/>
    </row>
    <row r="1930" spans="6:6" x14ac:dyDescent="0.3">
      <c r="F1930" s="1"/>
    </row>
    <row r="1931" spans="6:6" x14ac:dyDescent="0.3">
      <c r="F1931" s="1"/>
    </row>
    <row r="1932" spans="6:6" x14ac:dyDescent="0.3">
      <c r="F1932" s="1"/>
    </row>
    <row r="1933" spans="6:6" x14ac:dyDescent="0.3">
      <c r="F1933" s="1"/>
    </row>
    <row r="1934" spans="6:6" x14ac:dyDescent="0.3">
      <c r="F1934" s="1"/>
    </row>
    <row r="1935" spans="6:6" x14ac:dyDescent="0.3">
      <c r="F1935" s="1"/>
    </row>
    <row r="1936" spans="6:6" x14ac:dyDescent="0.3">
      <c r="F1936" s="1"/>
    </row>
    <row r="1937" spans="6:6" x14ac:dyDescent="0.3">
      <c r="F1937" s="1"/>
    </row>
    <row r="1938" spans="6:6" x14ac:dyDescent="0.3">
      <c r="F1938" s="1"/>
    </row>
    <row r="1939" spans="6:6" x14ac:dyDescent="0.3">
      <c r="F1939" s="1"/>
    </row>
    <row r="1940" spans="6:6" x14ac:dyDescent="0.3">
      <c r="F1940" s="1"/>
    </row>
    <row r="1941" spans="6:6" x14ac:dyDescent="0.3">
      <c r="F1941" s="1"/>
    </row>
    <row r="1942" spans="6:6" x14ac:dyDescent="0.3">
      <c r="F1942" s="1"/>
    </row>
    <row r="1943" spans="6:6" x14ac:dyDescent="0.3">
      <c r="F1943" s="1"/>
    </row>
    <row r="1944" spans="6:6" x14ac:dyDescent="0.3">
      <c r="F1944" s="1"/>
    </row>
    <row r="1945" spans="6:6" x14ac:dyDescent="0.3">
      <c r="F1945" s="1"/>
    </row>
    <row r="1946" spans="6:6" x14ac:dyDescent="0.3">
      <c r="F1946" s="1"/>
    </row>
    <row r="1947" spans="6:6" x14ac:dyDescent="0.3">
      <c r="F1947" s="1"/>
    </row>
    <row r="1948" spans="6:6" x14ac:dyDescent="0.3">
      <c r="F1948" s="1"/>
    </row>
    <row r="1949" spans="6:6" x14ac:dyDescent="0.3">
      <c r="F1949" s="1"/>
    </row>
    <row r="1950" spans="6:6" x14ac:dyDescent="0.3">
      <c r="F1950" s="1"/>
    </row>
    <row r="1951" spans="6:6" x14ac:dyDescent="0.3">
      <c r="F1951" s="1"/>
    </row>
    <row r="1952" spans="6:6" x14ac:dyDescent="0.3">
      <c r="F1952" s="1"/>
    </row>
    <row r="1953" spans="6:6" x14ac:dyDescent="0.3">
      <c r="F1953" s="1"/>
    </row>
    <row r="1954" spans="6:6" x14ac:dyDescent="0.3">
      <c r="F1954" s="1"/>
    </row>
    <row r="1955" spans="6:6" x14ac:dyDescent="0.3">
      <c r="F1955" s="1"/>
    </row>
    <row r="1956" spans="6:6" x14ac:dyDescent="0.3">
      <c r="F1956" s="1"/>
    </row>
    <row r="1957" spans="6:6" x14ac:dyDescent="0.3">
      <c r="F1957" s="1"/>
    </row>
    <row r="1958" spans="6:6" x14ac:dyDescent="0.3">
      <c r="F1958" s="1"/>
    </row>
    <row r="1959" spans="6:6" x14ac:dyDescent="0.3">
      <c r="F1959" s="1"/>
    </row>
    <row r="1960" spans="6:6" x14ac:dyDescent="0.3">
      <c r="F1960" s="1"/>
    </row>
    <row r="1961" spans="6:6" x14ac:dyDescent="0.3">
      <c r="F1961" s="1"/>
    </row>
    <row r="1962" spans="6:6" x14ac:dyDescent="0.3">
      <c r="F1962" s="1"/>
    </row>
    <row r="1963" spans="6:6" x14ac:dyDescent="0.3">
      <c r="F1963" s="1"/>
    </row>
    <row r="1964" spans="6:6" x14ac:dyDescent="0.3">
      <c r="F1964" s="1"/>
    </row>
    <row r="1965" spans="6:6" x14ac:dyDescent="0.3">
      <c r="F1965" s="1"/>
    </row>
    <row r="1966" spans="6:6" x14ac:dyDescent="0.3">
      <c r="F1966" s="1"/>
    </row>
    <row r="1967" spans="6:6" x14ac:dyDescent="0.3">
      <c r="F1967" s="1"/>
    </row>
    <row r="1968" spans="6:6" x14ac:dyDescent="0.3">
      <c r="F1968" s="1"/>
    </row>
    <row r="1969" spans="6:6" x14ac:dyDescent="0.3">
      <c r="F1969" s="1"/>
    </row>
    <row r="1970" spans="6:6" x14ac:dyDescent="0.3">
      <c r="F1970" s="1"/>
    </row>
    <row r="1971" spans="6:6" x14ac:dyDescent="0.3">
      <c r="F1971" s="1"/>
    </row>
    <row r="1972" spans="6:6" x14ac:dyDescent="0.3">
      <c r="F1972" s="1"/>
    </row>
    <row r="1973" spans="6:6" x14ac:dyDescent="0.3">
      <c r="F1973" s="1"/>
    </row>
    <row r="1974" spans="6:6" x14ac:dyDescent="0.3">
      <c r="F1974" s="1"/>
    </row>
    <row r="1975" spans="6:6" x14ac:dyDescent="0.3">
      <c r="F1975" s="1"/>
    </row>
    <row r="1976" spans="6:6" x14ac:dyDescent="0.3">
      <c r="F1976" s="1"/>
    </row>
    <row r="1977" spans="6:6" x14ac:dyDescent="0.3">
      <c r="F1977" s="1"/>
    </row>
    <row r="1978" spans="6:6" x14ac:dyDescent="0.3">
      <c r="F1978" s="1"/>
    </row>
    <row r="1979" spans="6:6" x14ac:dyDescent="0.3">
      <c r="F1979" s="1"/>
    </row>
    <row r="1980" spans="6:6" x14ac:dyDescent="0.3">
      <c r="F1980" s="1"/>
    </row>
    <row r="1981" spans="6:6" x14ac:dyDescent="0.3">
      <c r="F1981" s="1"/>
    </row>
    <row r="1982" spans="6:6" x14ac:dyDescent="0.3">
      <c r="F1982" s="1"/>
    </row>
    <row r="1983" spans="6:6" x14ac:dyDescent="0.3">
      <c r="F1983" s="1"/>
    </row>
    <row r="1984" spans="6:6" x14ac:dyDescent="0.3">
      <c r="F1984" s="1"/>
    </row>
    <row r="1985" spans="6:6" x14ac:dyDescent="0.3">
      <c r="F1985" s="1"/>
    </row>
    <row r="1986" spans="6:6" x14ac:dyDescent="0.3">
      <c r="F1986" s="1"/>
    </row>
    <row r="1987" spans="6:6" x14ac:dyDescent="0.3">
      <c r="F1987" s="1"/>
    </row>
    <row r="1988" spans="6:6" x14ac:dyDescent="0.3">
      <c r="F1988" s="1"/>
    </row>
    <row r="1989" spans="6:6" x14ac:dyDescent="0.3">
      <c r="F1989" s="1"/>
    </row>
    <row r="1990" spans="6:6" x14ac:dyDescent="0.3">
      <c r="F1990" s="1"/>
    </row>
    <row r="1991" spans="6:6" x14ac:dyDescent="0.3">
      <c r="F1991" s="1"/>
    </row>
    <row r="1992" spans="6:6" x14ac:dyDescent="0.3">
      <c r="F1992" s="1"/>
    </row>
    <row r="1993" spans="6:6" x14ac:dyDescent="0.3">
      <c r="F1993" s="1"/>
    </row>
    <row r="1994" spans="6:6" x14ac:dyDescent="0.3">
      <c r="F1994" s="1"/>
    </row>
    <row r="1995" spans="6:6" x14ac:dyDescent="0.3">
      <c r="F1995" s="1"/>
    </row>
    <row r="1996" spans="6:6" x14ac:dyDescent="0.3">
      <c r="F1996" s="1"/>
    </row>
    <row r="1997" spans="6:6" x14ac:dyDescent="0.3">
      <c r="F1997" s="1"/>
    </row>
    <row r="1998" spans="6:6" x14ac:dyDescent="0.3">
      <c r="F1998" s="1"/>
    </row>
    <row r="1999" spans="6:6" x14ac:dyDescent="0.3">
      <c r="F1999" s="1"/>
    </row>
    <row r="2000" spans="6:6" x14ac:dyDescent="0.3">
      <c r="F2000" s="1"/>
    </row>
    <row r="2001" spans="6:6" x14ac:dyDescent="0.3">
      <c r="F2001" s="1"/>
    </row>
    <row r="2002" spans="6:6" x14ac:dyDescent="0.3">
      <c r="F2002" s="1"/>
    </row>
    <row r="2003" spans="6:6" x14ac:dyDescent="0.3">
      <c r="F2003" s="1"/>
    </row>
    <row r="2004" spans="6:6" x14ac:dyDescent="0.3">
      <c r="F2004" s="1"/>
    </row>
    <row r="2005" spans="6:6" x14ac:dyDescent="0.3">
      <c r="F2005" s="1"/>
    </row>
    <row r="2006" spans="6:6" x14ac:dyDescent="0.3">
      <c r="F2006" s="1"/>
    </row>
    <row r="2007" spans="6:6" x14ac:dyDescent="0.3">
      <c r="F2007" s="1"/>
    </row>
    <row r="2008" spans="6:6" x14ac:dyDescent="0.3">
      <c r="F2008" s="1"/>
    </row>
    <row r="2009" spans="6:6" x14ac:dyDescent="0.3">
      <c r="F2009" s="1"/>
    </row>
    <row r="2010" spans="6:6" x14ac:dyDescent="0.3">
      <c r="F2010" s="1"/>
    </row>
    <row r="2011" spans="6:6" x14ac:dyDescent="0.3">
      <c r="F2011" s="1"/>
    </row>
    <row r="2012" spans="6:6" x14ac:dyDescent="0.3">
      <c r="F2012" s="1"/>
    </row>
    <row r="2013" spans="6:6" x14ac:dyDescent="0.3">
      <c r="F2013" s="1"/>
    </row>
    <row r="2014" spans="6:6" x14ac:dyDescent="0.3">
      <c r="F2014" s="1"/>
    </row>
    <row r="2015" spans="6:6" x14ac:dyDescent="0.3">
      <c r="F2015" s="1"/>
    </row>
    <row r="2016" spans="6:6" x14ac:dyDescent="0.3">
      <c r="F2016" s="1"/>
    </row>
    <row r="2017" spans="6:6" x14ac:dyDescent="0.3">
      <c r="F2017" s="1"/>
    </row>
    <row r="2018" spans="6:6" x14ac:dyDescent="0.3">
      <c r="F2018" s="1"/>
    </row>
    <row r="2019" spans="6:6" x14ac:dyDescent="0.3">
      <c r="F2019" s="1"/>
    </row>
    <row r="2020" spans="6:6" x14ac:dyDescent="0.3">
      <c r="F2020" s="1"/>
    </row>
    <row r="2021" spans="6:6" x14ac:dyDescent="0.3">
      <c r="F2021" s="1"/>
    </row>
    <row r="2022" spans="6:6" x14ac:dyDescent="0.3">
      <c r="F2022" s="1"/>
    </row>
    <row r="2023" spans="6:6" x14ac:dyDescent="0.3">
      <c r="F2023" s="1"/>
    </row>
    <row r="2024" spans="6:6" x14ac:dyDescent="0.3">
      <c r="F2024" s="1"/>
    </row>
    <row r="2025" spans="6:6" x14ac:dyDescent="0.3">
      <c r="F2025" s="1"/>
    </row>
    <row r="2026" spans="6:6" x14ac:dyDescent="0.3">
      <c r="F2026" s="1"/>
    </row>
    <row r="2027" spans="6:6" x14ac:dyDescent="0.3">
      <c r="F2027" s="1"/>
    </row>
    <row r="2028" spans="6:6" x14ac:dyDescent="0.3">
      <c r="F2028" s="1"/>
    </row>
    <row r="2029" spans="6:6" x14ac:dyDescent="0.3">
      <c r="F2029" s="1"/>
    </row>
    <row r="2030" spans="6:6" x14ac:dyDescent="0.3">
      <c r="F2030" s="1"/>
    </row>
    <row r="2031" spans="6:6" x14ac:dyDescent="0.3">
      <c r="F2031" s="1"/>
    </row>
    <row r="2032" spans="6:6" x14ac:dyDescent="0.3">
      <c r="F2032" s="1"/>
    </row>
    <row r="2033" spans="6:6" x14ac:dyDescent="0.3">
      <c r="F2033" s="1"/>
    </row>
    <row r="2034" spans="6:6" x14ac:dyDescent="0.3">
      <c r="F2034" s="1"/>
    </row>
    <row r="2035" spans="6:6" x14ac:dyDescent="0.3">
      <c r="F2035" s="1"/>
    </row>
    <row r="2036" spans="6:6" x14ac:dyDescent="0.3">
      <c r="F2036" s="1"/>
    </row>
    <row r="2037" spans="6:6" x14ac:dyDescent="0.3">
      <c r="F2037" s="1"/>
    </row>
    <row r="2038" spans="6:6" x14ac:dyDescent="0.3">
      <c r="F2038" s="1"/>
    </row>
    <row r="2039" spans="6:6" x14ac:dyDescent="0.3">
      <c r="F2039" s="1"/>
    </row>
    <row r="2040" spans="6:6" x14ac:dyDescent="0.3">
      <c r="F2040" s="1"/>
    </row>
    <row r="2041" spans="6:6" x14ac:dyDescent="0.3">
      <c r="F2041" s="1"/>
    </row>
    <row r="2042" spans="6:6" x14ac:dyDescent="0.3">
      <c r="F2042" s="1"/>
    </row>
    <row r="2043" spans="6:6" x14ac:dyDescent="0.3">
      <c r="F2043" s="1"/>
    </row>
    <row r="2044" spans="6:6" x14ac:dyDescent="0.3">
      <c r="F2044" s="1"/>
    </row>
    <row r="2045" spans="6:6" x14ac:dyDescent="0.3">
      <c r="F2045" s="1"/>
    </row>
    <row r="2046" spans="6:6" x14ac:dyDescent="0.3">
      <c r="F2046" s="1"/>
    </row>
    <row r="2047" spans="6:6" x14ac:dyDescent="0.3">
      <c r="F2047" s="1"/>
    </row>
    <row r="2048" spans="6:6" x14ac:dyDescent="0.3">
      <c r="F2048" s="1"/>
    </row>
    <row r="2049" spans="6:6" x14ac:dyDescent="0.3">
      <c r="F2049" s="1"/>
    </row>
    <row r="2050" spans="6:6" x14ac:dyDescent="0.3">
      <c r="F2050" s="1"/>
    </row>
    <row r="2051" spans="6:6" x14ac:dyDescent="0.3">
      <c r="F2051" s="1"/>
    </row>
    <row r="2052" spans="6:6" x14ac:dyDescent="0.3">
      <c r="F2052" s="1"/>
    </row>
    <row r="2053" spans="6:6" x14ac:dyDescent="0.3">
      <c r="F2053" s="1"/>
    </row>
    <row r="2054" spans="6:6" x14ac:dyDescent="0.3">
      <c r="F2054" s="1"/>
    </row>
    <row r="2055" spans="6:6" x14ac:dyDescent="0.3">
      <c r="F2055" s="1"/>
    </row>
    <row r="2056" spans="6:6" x14ac:dyDescent="0.3">
      <c r="F2056" s="1"/>
    </row>
    <row r="2057" spans="6:6" x14ac:dyDescent="0.3">
      <c r="F2057" s="1"/>
    </row>
    <row r="2058" spans="6:6" x14ac:dyDescent="0.3">
      <c r="F2058" s="1"/>
    </row>
    <row r="2059" spans="6:6" x14ac:dyDescent="0.3">
      <c r="F2059" s="1"/>
    </row>
    <row r="2060" spans="6:6" x14ac:dyDescent="0.3">
      <c r="F2060" s="1"/>
    </row>
    <row r="2061" spans="6:6" x14ac:dyDescent="0.3">
      <c r="F2061" s="1"/>
    </row>
    <row r="2062" spans="6:6" x14ac:dyDescent="0.3">
      <c r="F2062" s="1"/>
    </row>
    <row r="2063" spans="6:6" x14ac:dyDescent="0.3">
      <c r="F2063" s="1"/>
    </row>
    <row r="2064" spans="6:6" x14ac:dyDescent="0.3">
      <c r="F2064" s="1"/>
    </row>
    <row r="2065" spans="6:6" x14ac:dyDescent="0.3">
      <c r="F2065" s="1"/>
    </row>
    <row r="2066" spans="6:6" x14ac:dyDescent="0.3">
      <c r="F2066" s="1"/>
    </row>
    <row r="2067" spans="6:6" x14ac:dyDescent="0.3">
      <c r="F2067" s="1"/>
    </row>
    <row r="2068" spans="6:6" x14ac:dyDescent="0.3">
      <c r="F2068" s="1"/>
    </row>
    <row r="2069" spans="6:6" x14ac:dyDescent="0.3">
      <c r="F2069" s="1"/>
    </row>
    <row r="2070" spans="6:6" x14ac:dyDescent="0.3">
      <c r="F2070" s="1"/>
    </row>
    <row r="2071" spans="6:6" x14ac:dyDescent="0.3">
      <c r="F2071" s="1"/>
    </row>
    <row r="2072" spans="6:6" x14ac:dyDescent="0.3">
      <c r="F2072" s="1"/>
    </row>
    <row r="2073" spans="6:6" x14ac:dyDescent="0.3">
      <c r="F2073" s="1"/>
    </row>
    <row r="2074" spans="6:6" x14ac:dyDescent="0.3">
      <c r="F2074" s="1"/>
    </row>
    <row r="2075" spans="6:6" x14ac:dyDescent="0.3">
      <c r="F2075" s="1"/>
    </row>
    <row r="2076" spans="6:6" x14ac:dyDescent="0.3">
      <c r="F2076" s="1"/>
    </row>
    <row r="2077" spans="6:6" x14ac:dyDescent="0.3">
      <c r="F2077" s="1"/>
    </row>
    <row r="2078" spans="6:6" x14ac:dyDescent="0.3">
      <c r="F2078" s="1"/>
    </row>
    <row r="2079" spans="6:6" x14ac:dyDescent="0.3">
      <c r="F2079" s="1"/>
    </row>
    <row r="2080" spans="6:6" x14ac:dyDescent="0.3">
      <c r="F2080" s="1"/>
    </row>
    <row r="2081" spans="6:6" x14ac:dyDescent="0.3">
      <c r="F2081" s="1"/>
    </row>
    <row r="2082" spans="6:6" x14ac:dyDescent="0.3">
      <c r="F2082" s="1"/>
    </row>
    <row r="2083" spans="6:6" x14ac:dyDescent="0.3">
      <c r="F2083" s="1"/>
    </row>
    <row r="2084" spans="6:6" x14ac:dyDescent="0.3">
      <c r="F2084" s="1"/>
    </row>
    <row r="2085" spans="6:6" x14ac:dyDescent="0.3">
      <c r="F2085" s="1"/>
    </row>
    <row r="2086" spans="6:6" x14ac:dyDescent="0.3">
      <c r="F2086" s="1"/>
    </row>
    <row r="2087" spans="6:6" x14ac:dyDescent="0.3">
      <c r="F2087" s="1"/>
    </row>
    <row r="2088" spans="6:6" x14ac:dyDescent="0.3">
      <c r="F2088" s="1"/>
    </row>
    <row r="2089" spans="6:6" x14ac:dyDescent="0.3">
      <c r="F2089" s="1"/>
    </row>
    <row r="2090" spans="6:6" x14ac:dyDescent="0.3">
      <c r="F2090" s="1"/>
    </row>
    <row r="2091" spans="6:6" x14ac:dyDescent="0.3">
      <c r="F2091" s="1"/>
    </row>
    <row r="2092" spans="6:6" x14ac:dyDescent="0.3">
      <c r="F2092" s="1"/>
    </row>
    <row r="2093" spans="6:6" x14ac:dyDescent="0.3">
      <c r="F2093" s="1"/>
    </row>
    <row r="2094" spans="6:6" x14ac:dyDescent="0.3">
      <c r="F2094" s="1"/>
    </row>
    <row r="2095" spans="6:6" x14ac:dyDescent="0.3">
      <c r="F2095" s="1"/>
    </row>
    <row r="2096" spans="6:6" x14ac:dyDescent="0.3">
      <c r="F2096" s="1"/>
    </row>
    <row r="2097" spans="6:6" x14ac:dyDescent="0.3">
      <c r="F2097" s="1"/>
    </row>
    <row r="2098" spans="6:6" x14ac:dyDescent="0.3">
      <c r="F2098" s="1"/>
    </row>
    <row r="2099" spans="6:6" x14ac:dyDescent="0.3">
      <c r="F2099" s="1"/>
    </row>
    <row r="2100" spans="6:6" x14ac:dyDescent="0.3">
      <c r="F2100" s="1"/>
    </row>
    <row r="2101" spans="6:6" x14ac:dyDescent="0.3">
      <c r="F2101" s="1"/>
    </row>
    <row r="2102" spans="6:6" x14ac:dyDescent="0.3">
      <c r="F2102" s="1"/>
    </row>
    <row r="2103" spans="6:6" x14ac:dyDescent="0.3">
      <c r="F2103" s="1"/>
    </row>
    <row r="2104" spans="6:6" x14ac:dyDescent="0.3">
      <c r="F2104" s="1"/>
    </row>
    <row r="2105" spans="6:6" x14ac:dyDescent="0.3">
      <c r="F2105" s="1"/>
    </row>
    <row r="2106" spans="6:6" x14ac:dyDescent="0.3">
      <c r="F2106" s="1"/>
    </row>
    <row r="2107" spans="6:6" x14ac:dyDescent="0.3">
      <c r="F2107" s="1"/>
    </row>
    <row r="2108" spans="6:6" x14ac:dyDescent="0.3">
      <c r="F2108" s="1"/>
    </row>
    <row r="2109" spans="6:6" x14ac:dyDescent="0.3">
      <c r="F2109" s="1"/>
    </row>
    <row r="2110" spans="6:6" x14ac:dyDescent="0.3">
      <c r="F2110" s="1"/>
    </row>
    <row r="2111" spans="6:6" x14ac:dyDescent="0.3">
      <c r="F2111" s="1"/>
    </row>
    <row r="2112" spans="6:6" x14ac:dyDescent="0.3">
      <c r="F2112" s="1"/>
    </row>
    <row r="2113" spans="6:6" x14ac:dyDescent="0.3">
      <c r="F2113" s="1"/>
    </row>
    <row r="2114" spans="6:6" x14ac:dyDescent="0.3">
      <c r="F2114" s="1"/>
    </row>
    <row r="2115" spans="6:6" x14ac:dyDescent="0.3">
      <c r="F2115" s="1"/>
    </row>
    <row r="2116" spans="6:6" x14ac:dyDescent="0.3">
      <c r="F2116" s="1"/>
    </row>
    <row r="2117" spans="6:6" x14ac:dyDescent="0.3">
      <c r="F2117" s="1"/>
    </row>
    <row r="2118" spans="6:6" x14ac:dyDescent="0.3">
      <c r="F2118" s="1"/>
    </row>
    <row r="2119" spans="6:6" x14ac:dyDescent="0.3">
      <c r="F2119" s="1"/>
    </row>
    <row r="2120" spans="6:6" x14ac:dyDescent="0.3">
      <c r="F2120" s="1"/>
    </row>
    <row r="2121" spans="6:6" x14ac:dyDescent="0.3">
      <c r="F2121" s="1"/>
    </row>
    <row r="2122" spans="6:6" x14ac:dyDescent="0.3">
      <c r="F2122" s="1"/>
    </row>
    <row r="2123" spans="6:6" x14ac:dyDescent="0.3">
      <c r="F2123" s="1"/>
    </row>
    <row r="2124" spans="6:6" x14ac:dyDescent="0.3">
      <c r="F2124" s="1"/>
    </row>
    <row r="2125" spans="6:6" x14ac:dyDescent="0.3">
      <c r="F2125" s="1"/>
    </row>
    <row r="2126" spans="6:6" x14ac:dyDescent="0.3">
      <c r="F2126" s="1"/>
    </row>
    <row r="2127" spans="6:6" x14ac:dyDescent="0.3">
      <c r="F2127" s="1"/>
    </row>
    <row r="2128" spans="6:6" x14ac:dyDescent="0.3">
      <c r="F2128" s="1"/>
    </row>
    <row r="2129" spans="6:6" x14ac:dyDescent="0.3">
      <c r="F2129" s="1"/>
    </row>
    <row r="2130" spans="6:6" x14ac:dyDescent="0.3">
      <c r="F2130" s="1"/>
    </row>
    <row r="2131" spans="6:6" x14ac:dyDescent="0.3">
      <c r="F2131" s="1"/>
    </row>
    <row r="2132" spans="6:6" x14ac:dyDescent="0.3">
      <c r="F2132" s="1"/>
    </row>
    <row r="2133" spans="6:6" x14ac:dyDescent="0.3">
      <c r="F2133" s="1"/>
    </row>
    <row r="2134" spans="6:6" x14ac:dyDescent="0.3">
      <c r="F2134" s="1"/>
    </row>
    <row r="2135" spans="6:6" x14ac:dyDescent="0.3">
      <c r="F2135" s="1"/>
    </row>
    <row r="2136" spans="6:6" x14ac:dyDescent="0.3">
      <c r="F2136" s="1"/>
    </row>
    <row r="2137" spans="6:6" x14ac:dyDescent="0.3">
      <c r="F2137" s="1"/>
    </row>
    <row r="2138" spans="6:6" x14ac:dyDescent="0.3">
      <c r="F2138" s="1"/>
    </row>
    <row r="2139" spans="6:6" x14ac:dyDescent="0.3">
      <c r="F2139" s="1"/>
    </row>
    <row r="2140" spans="6:6" x14ac:dyDescent="0.3">
      <c r="F2140" s="1"/>
    </row>
    <row r="2141" spans="6:6" x14ac:dyDescent="0.3">
      <c r="F2141" s="1"/>
    </row>
    <row r="2142" spans="6:6" x14ac:dyDescent="0.3">
      <c r="F2142" s="1"/>
    </row>
    <row r="2143" spans="6:6" x14ac:dyDescent="0.3">
      <c r="F2143" s="1"/>
    </row>
    <row r="2144" spans="6:6" x14ac:dyDescent="0.3">
      <c r="F2144" s="1"/>
    </row>
    <row r="2145" spans="6:6" x14ac:dyDescent="0.3">
      <c r="F2145" s="1"/>
    </row>
    <row r="2146" spans="6:6" x14ac:dyDescent="0.3">
      <c r="F2146" s="1"/>
    </row>
    <row r="2147" spans="6:6" x14ac:dyDescent="0.3">
      <c r="F2147" s="1"/>
    </row>
    <row r="2148" spans="6:6" x14ac:dyDescent="0.3">
      <c r="F2148" s="1"/>
    </row>
    <row r="2149" spans="6:6" x14ac:dyDescent="0.3">
      <c r="F2149" s="1"/>
    </row>
    <row r="2150" spans="6:6" x14ac:dyDescent="0.3">
      <c r="F2150" s="1"/>
    </row>
    <row r="2151" spans="6:6" x14ac:dyDescent="0.3">
      <c r="F2151" s="1"/>
    </row>
    <row r="2152" spans="6:6" x14ac:dyDescent="0.3">
      <c r="F2152" s="1"/>
    </row>
    <row r="2153" spans="6:6" x14ac:dyDescent="0.3">
      <c r="F2153" s="1"/>
    </row>
    <row r="2154" spans="6:6" x14ac:dyDescent="0.3">
      <c r="F2154" s="1"/>
    </row>
    <row r="2155" spans="6:6" x14ac:dyDescent="0.3">
      <c r="F2155" s="1"/>
    </row>
    <row r="2156" spans="6:6" x14ac:dyDescent="0.3">
      <c r="F2156" s="1"/>
    </row>
    <row r="2157" spans="6:6" x14ac:dyDescent="0.3">
      <c r="F2157" s="1"/>
    </row>
    <row r="2158" spans="6:6" x14ac:dyDescent="0.3">
      <c r="F2158" s="1"/>
    </row>
    <row r="2159" spans="6:6" x14ac:dyDescent="0.3">
      <c r="F2159" s="1"/>
    </row>
    <row r="2160" spans="6:6" x14ac:dyDescent="0.3">
      <c r="F2160" s="1"/>
    </row>
    <row r="2161" spans="6:6" x14ac:dyDescent="0.3">
      <c r="F2161" s="1"/>
    </row>
    <row r="2162" spans="6:6" x14ac:dyDescent="0.3">
      <c r="F2162" s="1"/>
    </row>
    <row r="2163" spans="6:6" x14ac:dyDescent="0.3">
      <c r="F2163" s="1"/>
    </row>
    <row r="2164" spans="6:6" x14ac:dyDescent="0.3">
      <c r="F2164" s="1"/>
    </row>
    <row r="2165" spans="6:6" x14ac:dyDescent="0.3">
      <c r="F2165" s="1"/>
    </row>
    <row r="2166" spans="6:6" x14ac:dyDescent="0.3">
      <c r="F2166" s="1"/>
    </row>
    <row r="2167" spans="6:6" x14ac:dyDescent="0.3">
      <c r="F2167" s="1"/>
    </row>
    <row r="2168" spans="6:6" x14ac:dyDescent="0.3">
      <c r="F2168" s="1"/>
    </row>
    <row r="2169" spans="6:6" x14ac:dyDescent="0.3">
      <c r="F2169" s="1"/>
    </row>
    <row r="2170" spans="6:6" x14ac:dyDescent="0.3">
      <c r="F2170" s="1"/>
    </row>
    <row r="2171" spans="6:6" x14ac:dyDescent="0.3">
      <c r="F2171" s="1"/>
    </row>
    <row r="2172" spans="6:6" x14ac:dyDescent="0.3">
      <c r="F2172" s="1"/>
    </row>
    <row r="2173" spans="6:6" x14ac:dyDescent="0.3">
      <c r="F2173" s="1"/>
    </row>
    <row r="2174" spans="6:6" x14ac:dyDescent="0.3">
      <c r="F2174" s="1"/>
    </row>
    <row r="2175" spans="6:6" x14ac:dyDescent="0.3">
      <c r="F2175" s="1"/>
    </row>
    <row r="2176" spans="6:6" x14ac:dyDescent="0.3">
      <c r="F2176" s="1"/>
    </row>
    <row r="2177" spans="6:6" x14ac:dyDescent="0.3">
      <c r="F2177" s="1"/>
    </row>
    <row r="2178" spans="6:6" x14ac:dyDescent="0.3">
      <c r="F2178" s="1"/>
    </row>
    <row r="2179" spans="6:6" x14ac:dyDescent="0.3">
      <c r="F2179" s="1"/>
    </row>
    <row r="2180" spans="6:6" x14ac:dyDescent="0.3">
      <c r="F2180" s="1"/>
    </row>
    <row r="2181" spans="6:6" x14ac:dyDescent="0.3">
      <c r="F2181" s="1"/>
    </row>
    <row r="2182" spans="6:6" x14ac:dyDescent="0.3">
      <c r="F2182" s="1"/>
    </row>
    <row r="2183" spans="6:6" x14ac:dyDescent="0.3">
      <c r="F2183" s="1"/>
    </row>
    <row r="2184" spans="6:6" x14ac:dyDescent="0.3">
      <c r="F2184" s="1"/>
    </row>
    <row r="2185" spans="6:6" x14ac:dyDescent="0.3">
      <c r="F2185" s="1"/>
    </row>
    <row r="2186" spans="6:6" x14ac:dyDescent="0.3">
      <c r="F2186" s="1"/>
    </row>
    <row r="2187" spans="6:6" x14ac:dyDescent="0.3">
      <c r="F2187" s="1"/>
    </row>
    <row r="2188" spans="6:6" x14ac:dyDescent="0.3">
      <c r="F2188" s="1"/>
    </row>
    <row r="2189" spans="6:6" x14ac:dyDescent="0.3">
      <c r="F2189" s="1"/>
    </row>
    <row r="2190" spans="6:6" x14ac:dyDescent="0.3">
      <c r="F2190" s="1"/>
    </row>
    <row r="2191" spans="6:6" x14ac:dyDescent="0.3">
      <c r="F2191" s="1"/>
    </row>
    <row r="2192" spans="6:6" x14ac:dyDescent="0.3">
      <c r="F2192" s="1"/>
    </row>
    <row r="2193" spans="6:6" x14ac:dyDescent="0.3">
      <c r="F2193" s="1"/>
    </row>
    <row r="2194" spans="6:6" x14ac:dyDescent="0.3">
      <c r="F2194" s="1"/>
    </row>
    <row r="2195" spans="6:6" x14ac:dyDescent="0.3">
      <c r="F2195" s="1"/>
    </row>
    <row r="2196" spans="6:6" x14ac:dyDescent="0.3">
      <c r="F2196" s="1"/>
    </row>
    <row r="2197" spans="6:6" x14ac:dyDescent="0.3">
      <c r="F2197" s="1"/>
    </row>
    <row r="2198" spans="6:6" x14ac:dyDescent="0.3">
      <c r="F2198" s="1"/>
    </row>
    <row r="2199" spans="6:6" x14ac:dyDescent="0.3">
      <c r="F2199" s="1"/>
    </row>
    <row r="2200" spans="6:6" x14ac:dyDescent="0.3">
      <c r="F2200" s="1"/>
    </row>
    <row r="2201" spans="6:6" x14ac:dyDescent="0.3">
      <c r="F2201" s="1"/>
    </row>
    <row r="2202" spans="6:6" x14ac:dyDescent="0.3">
      <c r="F2202" s="1"/>
    </row>
    <row r="2203" spans="6:6" x14ac:dyDescent="0.3">
      <c r="F2203" s="1"/>
    </row>
    <row r="2204" spans="6:6" x14ac:dyDescent="0.3">
      <c r="F2204" s="1"/>
    </row>
    <row r="2205" spans="6:6" x14ac:dyDescent="0.3">
      <c r="F2205" s="1"/>
    </row>
    <row r="2206" spans="6:6" x14ac:dyDescent="0.3">
      <c r="F2206" s="1"/>
    </row>
    <row r="2207" spans="6:6" x14ac:dyDescent="0.3">
      <c r="F2207" s="1"/>
    </row>
    <row r="2208" spans="6:6" x14ac:dyDescent="0.3">
      <c r="F2208" s="1"/>
    </row>
    <row r="2209" spans="6:6" x14ac:dyDescent="0.3">
      <c r="F2209" s="1"/>
    </row>
    <row r="2210" spans="6:6" x14ac:dyDescent="0.3">
      <c r="F2210" s="1"/>
    </row>
    <row r="2211" spans="6:6" x14ac:dyDescent="0.3">
      <c r="F2211" s="1"/>
    </row>
    <row r="2212" spans="6:6" x14ac:dyDescent="0.3">
      <c r="F2212" s="1"/>
    </row>
    <row r="2213" spans="6:6" x14ac:dyDescent="0.3">
      <c r="F2213" s="1"/>
    </row>
    <row r="2214" spans="6:6" x14ac:dyDescent="0.3">
      <c r="F2214" s="1"/>
    </row>
    <row r="2215" spans="6:6" x14ac:dyDescent="0.3">
      <c r="F2215" s="1"/>
    </row>
    <row r="2216" spans="6:6" x14ac:dyDescent="0.3">
      <c r="F2216" s="1"/>
    </row>
    <row r="2217" spans="6:6" x14ac:dyDescent="0.3">
      <c r="F2217" s="1"/>
    </row>
    <row r="2218" spans="6:6" x14ac:dyDescent="0.3">
      <c r="F2218" s="1"/>
    </row>
    <row r="2219" spans="6:6" x14ac:dyDescent="0.3">
      <c r="F2219" s="1"/>
    </row>
    <row r="2220" spans="6:6" x14ac:dyDescent="0.3">
      <c r="F2220" s="1"/>
    </row>
    <row r="2221" spans="6:6" x14ac:dyDescent="0.3">
      <c r="F2221" s="1"/>
    </row>
    <row r="2222" spans="6:6" x14ac:dyDescent="0.3">
      <c r="F2222" s="1"/>
    </row>
    <row r="2223" spans="6:6" x14ac:dyDescent="0.3">
      <c r="F2223" s="1"/>
    </row>
    <row r="2224" spans="6:6" x14ac:dyDescent="0.3">
      <c r="F2224" s="1"/>
    </row>
    <row r="2225" spans="6:6" x14ac:dyDescent="0.3">
      <c r="F2225" s="1"/>
    </row>
    <row r="2226" spans="6:6" x14ac:dyDescent="0.3">
      <c r="F2226" s="1"/>
    </row>
    <row r="2227" spans="6:6" x14ac:dyDescent="0.3">
      <c r="F2227" s="1"/>
    </row>
    <row r="2228" spans="6:6" x14ac:dyDescent="0.3">
      <c r="F2228" s="1"/>
    </row>
    <row r="2229" spans="6:6" x14ac:dyDescent="0.3">
      <c r="F2229" s="1"/>
    </row>
    <row r="2230" spans="6:6" x14ac:dyDescent="0.3">
      <c r="F2230" s="1"/>
    </row>
    <row r="2231" spans="6:6" x14ac:dyDescent="0.3">
      <c r="F2231" s="1"/>
    </row>
    <row r="2232" spans="6:6" x14ac:dyDescent="0.3">
      <c r="F2232" s="1"/>
    </row>
    <row r="2233" spans="6:6" x14ac:dyDescent="0.3">
      <c r="F2233" s="1"/>
    </row>
    <row r="2234" spans="6:6" x14ac:dyDescent="0.3">
      <c r="F2234" s="1"/>
    </row>
    <row r="2235" spans="6:6" x14ac:dyDescent="0.3">
      <c r="F2235" s="1"/>
    </row>
    <row r="2236" spans="6:6" x14ac:dyDescent="0.3">
      <c r="F2236" s="1"/>
    </row>
    <row r="2237" spans="6:6" x14ac:dyDescent="0.3">
      <c r="F2237" s="1"/>
    </row>
    <row r="2238" spans="6:6" x14ac:dyDescent="0.3">
      <c r="F2238" s="1"/>
    </row>
    <row r="2239" spans="6:6" x14ac:dyDescent="0.3">
      <c r="F2239" s="1"/>
    </row>
    <row r="2240" spans="6:6" x14ac:dyDescent="0.3">
      <c r="F2240" s="1"/>
    </row>
    <row r="2241" spans="6:6" x14ac:dyDescent="0.3">
      <c r="F2241" s="1"/>
    </row>
    <row r="2242" spans="6:6" x14ac:dyDescent="0.3">
      <c r="F2242" s="1"/>
    </row>
    <row r="2243" spans="6:6" x14ac:dyDescent="0.3">
      <c r="F2243" s="1"/>
    </row>
    <row r="2244" spans="6:6" x14ac:dyDescent="0.3">
      <c r="F2244" s="1"/>
    </row>
    <row r="2245" spans="6:6" x14ac:dyDescent="0.3">
      <c r="F2245" s="1"/>
    </row>
    <row r="2246" spans="6:6" x14ac:dyDescent="0.3">
      <c r="F2246" s="1"/>
    </row>
    <row r="2247" spans="6:6" x14ac:dyDescent="0.3">
      <c r="F2247" s="1"/>
    </row>
    <row r="2248" spans="6:6" x14ac:dyDescent="0.3">
      <c r="F2248" s="1"/>
    </row>
    <row r="2249" spans="6:6" x14ac:dyDescent="0.3">
      <c r="F2249" s="1"/>
    </row>
    <row r="2250" spans="6:6" x14ac:dyDescent="0.3">
      <c r="F2250" s="1"/>
    </row>
    <row r="2251" spans="6:6" x14ac:dyDescent="0.3">
      <c r="F2251" s="1"/>
    </row>
    <row r="2252" spans="6:6" x14ac:dyDescent="0.3">
      <c r="F2252" s="1"/>
    </row>
    <row r="2253" spans="6:6" x14ac:dyDescent="0.3">
      <c r="F2253" s="1"/>
    </row>
    <row r="2254" spans="6:6" x14ac:dyDescent="0.3">
      <c r="F2254" s="1"/>
    </row>
    <row r="2255" spans="6:6" x14ac:dyDescent="0.3">
      <c r="F2255" s="1"/>
    </row>
    <row r="2256" spans="6:6" x14ac:dyDescent="0.3">
      <c r="F2256" s="1"/>
    </row>
    <row r="2257" spans="6:6" x14ac:dyDescent="0.3">
      <c r="F2257" s="1"/>
    </row>
    <row r="2258" spans="6:6" x14ac:dyDescent="0.3">
      <c r="F2258" s="1"/>
    </row>
    <row r="2259" spans="6:6" x14ac:dyDescent="0.3">
      <c r="F2259" s="1"/>
    </row>
    <row r="2260" spans="6:6" x14ac:dyDescent="0.3">
      <c r="F2260" s="1"/>
    </row>
    <row r="2261" spans="6:6" x14ac:dyDescent="0.3">
      <c r="F2261" s="1"/>
    </row>
    <row r="2262" spans="6:6" x14ac:dyDescent="0.3">
      <c r="F2262" s="1"/>
    </row>
    <row r="2263" spans="6:6" x14ac:dyDescent="0.3">
      <c r="F2263" s="1"/>
    </row>
    <row r="2264" spans="6:6" x14ac:dyDescent="0.3">
      <c r="F2264" s="1"/>
    </row>
    <row r="2265" spans="6:6" x14ac:dyDescent="0.3">
      <c r="F2265" s="1"/>
    </row>
    <row r="2266" spans="6:6" x14ac:dyDescent="0.3">
      <c r="F2266" s="1"/>
    </row>
    <row r="2267" spans="6:6" x14ac:dyDescent="0.3">
      <c r="F2267" s="1"/>
    </row>
    <row r="2268" spans="6:6" x14ac:dyDescent="0.3">
      <c r="F2268" s="1"/>
    </row>
    <row r="2269" spans="6:6" x14ac:dyDescent="0.3">
      <c r="F2269" s="1"/>
    </row>
    <row r="2270" spans="6:6" x14ac:dyDescent="0.3">
      <c r="F2270" s="1"/>
    </row>
    <row r="2271" spans="6:6" x14ac:dyDescent="0.3">
      <c r="F2271" s="1"/>
    </row>
    <row r="2272" spans="6:6" x14ac:dyDescent="0.3">
      <c r="F2272" s="1"/>
    </row>
    <row r="2273" spans="6:6" x14ac:dyDescent="0.3">
      <c r="F2273" s="1"/>
    </row>
    <row r="2274" spans="6:6" x14ac:dyDescent="0.3">
      <c r="F2274" s="1"/>
    </row>
    <row r="2275" spans="6:6" x14ac:dyDescent="0.3">
      <c r="F2275" s="1"/>
    </row>
    <row r="2276" spans="6:6" x14ac:dyDescent="0.3">
      <c r="F2276" s="1"/>
    </row>
    <row r="2277" spans="6:6" x14ac:dyDescent="0.3">
      <c r="F2277" s="1"/>
    </row>
    <row r="2278" spans="6:6" x14ac:dyDescent="0.3">
      <c r="F2278" s="1"/>
    </row>
    <row r="2279" spans="6:6" x14ac:dyDescent="0.3">
      <c r="F2279" s="1"/>
    </row>
    <row r="2280" spans="6:6" x14ac:dyDescent="0.3">
      <c r="F2280" s="1"/>
    </row>
    <row r="2281" spans="6:6" x14ac:dyDescent="0.3">
      <c r="F2281" s="1"/>
    </row>
    <row r="2282" spans="6:6" x14ac:dyDescent="0.3">
      <c r="F2282" s="1"/>
    </row>
    <row r="2283" spans="6:6" x14ac:dyDescent="0.3">
      <c r="F2283" s="1"/>
    </row>
    <row r="2284" spans="6:6" x14ac:dyDescent="0.3">
      <c r="F2284" s="1"/>
    </row>
    <row r="2285" spans="6:6" x14ac:dyDescent="0.3">
      <c r="F2285" s="1"/>
    </row>
    <row r="2286" spans="6:6" x14ac:dyDescent="0.3">
      <c r="F2286" s="1"/>
    </row>
    <row r="2287" spans="6:6" x14ac:dyDescent="0.3">
      <c r="F2287" s="1"/>
    </row>
    <row r="2288" spans="6:6" x14ac:dyDescent="0.3">
      <c r="F2288" s="1"/>
    </row>
    <row r="2289" spans="6:6" x14ac:dyDescent="0.3">
      <c r="F2289" s="1"/>
    </row>
    <row r="2290" spans="6:6" x14ac:dyDescent="0.3">
      <c r="F2290" s="1"/>
    </row>
    <row r="2291" spans="6:6" x14ac:dyDescent="0.3">
      <c r="F2291" s="1"/>
    </row>
    <row r="2292" spans="6:6" x14ac:dyDescent="0.3">
      <c r="F2292" s="1"/>
    </row>
    <row r="2293" spans="6:6" x14ac:dyDescent="0.3">
      <c r="F2293" s="1"/>
    </row>
    <row r="2294" spans="6:6" x14ac:dyDescent="0.3">
      <c r="F2294" s="1"/>
    </row>
    <row r="2295" spans="6:6" x14ac:dyDescent="0.3">
      <c r="F2295" s="1"/>
    </row>
    <row r="2296" spans="6:6" x14ac:dyDescent="0.3">
      <c r="F2296" s="1"/>
    </row>
    <row r="2297" spans="6:6" x14ac:dyDescent="0.3">
      <c r="F2297" s="1"/>
    </row>
    <row r="2298" spans="6:6" x14ac:dyDescent="0.3">
      <c r="F2298" s="1"/>
    </row>
    <row r="2299" spans="6:6" x14ac:dyDescent="0.3">
      <c r="F2299" s="1"/>
    </row>
    <row r="2300" spans="6:6" x14ac:dyDescent="0.3">
      <c r="F2300" s="1"/>
    </row>
    <row r="2301" spans="6:6" x14ac:dyDescent="0.3">
      <c r="F2301" s="1"/>
    </row>
    <row r="2302" spans="6:6" x14ac:dyDescent="0.3">
      <c r="F2302" s="1"/>
    </row>
    <row r="2303" spans="6:6" x14ac:dyDescent="0.3">
      <c r="F2303" s="1"/>
    </row>
    <row r="2304" spans="6:6" x14ac:dyDescent="0.3">
      <c r="F2304" s="1"/>
    </row>
    <row r="2305" spans="6:6" x14ac:dyDescent="0.3">
      <c r="F2305" s="1"/>
    </row>
    <row r="2306" spans="6:6" x14ac:dyDescent="0.3">
      <c r="F2306" s="1"/>
    </row>
    <row r="2307" spans="6:6" x14ac:dyDescent="0.3">
      <c r="F2307" s="1"/>
    </row>
    <row r="2308" spans="6:6" x14ac:dyDescent="0.3">
      <c r="F2308" s="1"/>
    </row>
    <row r="2309" spans="6:6" x14ac:dyDescent="0.3">
      <c r="F2309" s="1"/>
    </row>
    <row r="2310" spans="6:6" x14ac:dyDescent="0.3">
      <c r="F2310" s="1"/>
    </row>
    <row r="2311" spans="6:6" x14ac:dyDescent="0.3">
      <c r="F2311" s="1"/>
    </row>
    <row r="2312" spans="6:6" x14ac:dyDescent="0.3">
      <c r="F2312" s="1"/>
    </row>
    <row r="2313" spans="6:6" x14ac:dyDescent="0.3">
      <c r="F2313" s="1"/>
    </row>
    <row r="2314" spans="6:6" x14ac:dyDescent="0.3">
      <c r="F2314" s="1"/>
    </row>
    <row r="2315" spans="6:6" x14ac:dyDescent="0.3">
      <c r="F2315" s="1"/>
    </row>
    <row r="2316" spans="6:6" x14ac:dyDescent="0.3">
      <c r="F2316" s="1"/>
    </row>
    <row r="2317" spans="6:6" x14ac:dyDescent="0.3">
      <c r="F2317" s="1"/>
    </row>
    <row r="2318" spans="6:6" x14ac:dyDescent="0.3">
      <c r="F2318" s="1"/>
    </row>
    <row r="2319" spans="6:6" x14ac:dyDescent="0.3">
      <c r="F2319" s="1"/>
    </row>
    <row r="2320" spans="6:6" x14ac:dyDescent="0.3">
      <c r="F2320" s="1"/>
    </row>
    <row r="2321" spans="6:6" x14ac:dyDescent="0.3">
      <c r="F2321" s="1"/>
    </row>
    <row r="2322" spans="6:6" x14ac:dyDescent="0.3">
      <c r="F2322" s="1"/>
    </row>
    <row r="2323" spans="6:6" x14ac:dyDescent="0.3">
      <c r="F2323" s="1"/>
    </row>
    <row r="2324" spans="6:6" x14ac:dyDescent="0.3">
      <c r="F2324" s="1"/>
    </row>
    <row r="2325" spans="6:6" x14ac:dyDescent="0.3">
      <c r="F2325" s="1"/>
    </row>
    <row r="2326" spans="6:6" x14ac:dyDescent="0.3">
      <c r="F2326" s="1"/>
    </row>
    <row r="2327" spans="6:6" x14ac:dyDescent="0.3">
      <c r="F2327" s="1"/>
    </row>
    <row r="2328" spans="6:6" x14ac:dyDescent="0.3">
      <c r="F2328" s="1"/>
    </row>
    <row r="2329" spans="6:6" x14ac:dyDescent="0.3">
      <c r="F2329" s="1"/>
    </row>
    <row r="2330" spans="6:6" x14ac:dyDescent="0.3">
      <c r="F2330" s="1"/>
    </row>
    <row r="2331" spans="6:6" x14ac:dyDescent="0.3">
      <c r="F2331" s="1"/>
    </row>
    <row r="2332" spans="6:6" x14ac:dyDescent="0.3">
      <c r="F2332" s="1"/>
    </row>
    <row r="2333" spans="6:6" x14ac:dyDescent="0.3">
      <c r="F2333" s="1"/>
    </row>
    <row r="2334" spans="6:6" x14ac:dyDescent="0.3">
      <c r="F2334" s="1"/>
    </row>
    <row r="2335" spans="6:6" x14ac:dyDescent="0.3">
      <c r="F2335" s="1"/>
    </row>
    <row r="2336" spans="6:6" x14ac:dyDescent="0.3">
      <c r="F2336" s="1"/>
    </row>
    <row r="2337" spans="6:6" x14ac:dyDescent="0.3">
      <c r="F2337" s="1"/>
    </row>
    <row r="2338" spans="6:6" x14ac:dyDescent="0.3">
      <c r="F2338" s="1"/>
    </row>
    <row r="2339" spans="6:6" x14ac:dyDescent="0.3">
      <c r="F2339" s="1"/>
    </row>
    <row r="2340" spans="6:6" x14ac:dyDescent="0.3">
      <c r="F2340" s="1"/>
    </row>
    <row r="2341" spans="6:6" x14ac:dyDescent="0.3">
      <c r="F2341" s="1"/>
    </row>
    <row r="2342" spans="6:6" x14ac:dyDescent="0.3">
      <c r="F2342" s="1"/>
    </row>
    <row r="2343" spans="6:6" x14ac:dyDescent="0.3">
      <c r="F2343" s="1"/>
    </row>
    <row r="2344" spans="6:6" x14ac:dyDescent="0.3">
      <c r="F2344" s="1"/>
    </row>
    <row r="2345" spans="6:6" x14ac:dyDescent="0.3">
      <c r="F2345" s="1"/>
    </row>
    <row r="2346" spans="6:6" x14ac:dyDescent="0.3">
      <c r="F2346" s="1"/>
    </row>
    <row r="2347" spans="6:6" x14ac:dyDescent="0.3">
      <c r="F2347" s="1"/>
    </row>
    <row r="2348" spans="6:6" x14ac:dyDescent="0.3">
      <c r="F2348" s="1"/>
    </row>
    <row r="2349" spans="6:6" x14ac:dyDescent="0.3">
      <c r="F2349" s="1"/>
    </row>
    <row r="2350" spans="6:6" x14ac:dyDescent="0.3">
      <c r="F2350" s="1"/>
    </row>
    <row r="2351" spans="6:6" x14ac:dyDescent="0.3">
      <c r="F2351" s="1"/>
    </row>
    <row r="2352" spans="6:6" x14ac:dyDescent="0.3">
      <c r="F2352" s="1"/>
    </row>
    <row r="2353" spans="6:6" x14ac:dyDescent="0.3">
      <c r="F2353" s="1"/>
    </row>
    <row r="2354" spans="6:6" x14ac:dyDescent="0.3">
      <c r="F2354" s="1"/>
    </row>
    <row r="2355" spans="6:6" x14ac:dyDescent="0.3">
      <c r="F2355" s="1"/>
    </row>
    <row r="2356" spans="6:6" x14ac:dyDescent="0.3">
      <c r="F2356" s="1"/>
    </row>
    <row r="2357" spans="6:6" x14ac:dyDescent="0.3">
      <c r="F2357" s="1"/>
    </row>
    <row r="2358" spans="6:6" x14ac:dyDescent="0.3">
      <c r="F2358" s="1"/>
    </row>
    <row r="2359" spans="6:6" x14ac:dyDescent="0.3">
      <c r="F2359" s="1"/>
    </row>
    <row r="2360" spans="6:6" x14ac:dyDescent="0.3">
      <c r="F2360" s="1"/>
    </row>
    <row r="2361" spans="6:6" x14ac:dyDescent="0.3">
      <c r="F2361" s="1"/>
    </row>
    <row r="2362" spans="6:6" x14ac:dyDescent="0.3">
      <c r="F2362" s="1"/>
    </row>
    <row r="2363" spans="6:6" x14ac:dyDescent="0.3">
      <c r="F2363" s="1"/>
    </row>
    <row r="2364" spans="6:6" x14ac:dyDescent="0.3">
      <c r="F2364" s="1"/>
    </row>
    <row r="2365" spans="6:6" x14ac:dyDescent="0.3">
      <c r="F2365" s="1"/>
    </row>
    <row r="2366" spans="6:6" x14ac:dyDescent="0.3">
      <c r="F2366" s="1"/>
    </row>
    <row r="2367" spans="6:6" x14ac:dyDescent="0.3">
      <c r="F2367" s="1"/>
    </row>
    <row r="2368" spans="6:6" x14ac:dyDescent="0.3">
      <c r="F2368" s="1"/>
    </row>
    <row r="2369" spans="6:6" x14ac:dyDescent="0.3">
      <c r="F2369" s="1"/>
    </row>
    <row r="2370" spans="6:6" x14ac:dyDescent="0.3">
      <c r="F2370" s="1"/>
    </row>
    <row r="2371" spans="6:6" x14ac:dyDescent="0.3">
      <c r="F2371" s="1"/>
    </row>
    <row r="2372" spans="6:6" x14ac:dyDescent="0.3">
      <c r="F2372" s="1"/>
    </row>
    <row r="2373" spans="6:6" x14ac:dyDescent="0.3">
      <c r="F2373" s="1"/>
    </row>
    <row r="2374" spans="6:6" x14ac:dyDescent="0.3">
      <c r="F2374" s="1"/>
    </row>
    <row r="2375" spans="6:6" x14ac:dyDescent="0.3">
      <c r="F2375" s="1"/>
    </row>
    <row r="2376" spans="6:6" x14ac:dyDescent="0.3">
      <c r="F2376" s="1"/>
    </row>
    <row r="2377" spans="6:6" x14ac:dyDescent="0.3">
      <c r="F2377" s="1"/>
    </row>
    <row r="2378" spans="6:6" x14ac:dyDescent="0.3">
      <c r="F2378" s="1"/>
    </row>
    <row r="2379" spans="6:6" x14ac:dyDescent="0.3">
      <c r="F2379" s="1"/>
    </row>
    <row r="2380" spans="6:6" x14ac:dyDescent="0.3">
      <c r="F2380" s="1"/>
    </row>
    <row r="2381" spans="6:6" x14ac:dyDescent="0.3">
      <c r="F2381" s="1"/>
    </row>
    <row r="2382" spans="6:6" x14ac:dyDescent="0.3">
      <c r="F2382" s="1"/>
    </row>
    <row r="2383" spans="6:6" x14ac:dyDescent="0.3">
      <c r="F2383" s="1"/>
    </row>
    <row r="2384" spans="6:6" x14ac:dyDescent="0.3">
      <c r="F2384" s="1"/>
    </row>
    <row r="2385" spans="6:6" x14ac:dyDescent="0.3">
      <c r="F2385" s="1"/>
    </row>
    <row r="2386" spans="6:6" x14ac:dyDescent="0.3">
      <c r="F2386" s="1"/>
    </row>
    <row r="2387" spans="6:6" x14ac:dyDescent="0.3">
      <c r="F2387" s="1"/>
    </row>
    <row r="2388" spans="6:6" x14ac:dyDescent="0.3">
      <c r="F2388" s="1"/>
    </row>
    <row r="2389" spans="6:6" x14ac:dyDescent="0.3">
      <c r="F2389" s="1"/>
    </row>
    <row r="2390" spans="6:6" x14ac:dyDescent="0.3">
      <c r="F2390" s="1"/>
    </row>
    <row r="2391" spans="6:6" x14ac:dyDescent="0.3">
      <c r="F2391" s="1"/>
    </row>
    <row r="2392" spans="6:6" x14ac:dyDescent="0.3">
      <c r="F2392" s="1"/>
    </row>
    <row r="2393" spans="6:6" x14ac:dyDescent="0.3">
      <c r="F2393" s="1"/>
    </row>
    <row r="2394" spans="6:6" x14ac:dyDescent="0.3">
      <c r="F2394" s="1"/>
    </row>
    <row r="2395" spans="6:6" x14ac:dyDescent="0.3">
      <c r="F2395" s="1"/>
    </row>
    <row r="2396" spans="6:6" x14ac:dyDescent="0.3">
      <c r="F2396" s="1"/>
    </row>
    <row r="2397" spans="6:6" x14ac:dyDescent="0.3">
      <c r="F2397" s="1"/>
    </row>
    <row r="2398" spans="6:6" x14ac:dyDescent="0.3">
      <c r="F2398" s="1"/>
    </row>
    <row r="2399" spans="6:6" x14ac:dyDescent="0.3">
      <c r="F2399" s="1"/>
    </row>
    <row r="2400" spans="6:6" x14ac:dyDescent="0.3">
      <c r="F2400" s="1"/>
    </row>
    <row r="2401" spans="6:6" x14ac:dyDescent="0.3">
      <c r="F2401" s="1"/>
    </row>
    <row r="2402" spans="6:6" x14ac:dyDescent="0.3">
      <c r="F2402" s="1"/>
    </row>
    <row r="2403" spans="6:6" x14ac:dyDescent="0.3">
      <c r="F2403" s="1"/>
    </row>
    <row r="2404" spans="6:6" x14ac:dyDescent="0.3">
      <c r="F2404" s="1"/>
    </row>
    <row r="2405" spans="6:6" x14ac:dyDescent="0.3">
      <c r="F2405" s="1"/>
    </row>
    <row r="2406" spans="6:6" x14ac:dyDescent="0.3">
      <c r="F2406" s="1"/>
    </row>
    <row r="2407" spans="6:6" x14ac:dyDescent="0.3">
      <c r="F2407" s="1"/>
    </row>
    <row r="2408" spans="6:6" x14ac:dyDescent="0.3">
      <c r="F2408" s="1"/>
    </row>
    <row r="2409" spans="6:6" x14ac:dyDescent="0.3">
      <c r="F2409" s="1"/>
    </row>
    <row r="2410" spans="6:6" x14ac:dyDescent="0.3">
      <c r="F2410" s="1"/>
    </row>
    <row r="2411" spans="6:6" x14ac:dyDescent="0.3">
      <c r="F2411" s="1"/>
    </row>
    <row r="2412" spans="6:6" x14ac:dyDescent="0.3">
      <c r="F2412" s="1"/>
    </row>
    <row r="2413" spans="6:6" x14ac:dyDescent="0.3">
      <c r="F2413" s="1"/>
    </row>
    <row r="2414" spans="6:6" x14ac:dyDescent="0.3">
      <c r="F2414" s="1"/>
    </row>
    <row r="2415" spans="6:6" x14ac:dyDescent="0.3">
      <c r="F2415" s="1"/>
    </row>
    <row r="2416" spans="6:6" x14ac:dyDescent="0.3">
      <c r="F2416" s="1"/>
    </row>
    <row r="2417" spans="6:6" x14ac:dyDescent="0.3">
      <c r="F2417" s="1"/>
    </row>
    <row r="2418" spans="6:6" x14ac:dyDescent="0.3">
      <c r="F2418" s="1"/>
    </row>
    <row r="2419" spans="6:6" x14ac:dyDescent="0.3">
      <c r="F2419" s="1"/>
    </row>
    <row r="2420" spans="6:6" x14ac:dyDescent="0.3">
      <c r="F2420" s="1"/>
    </row>
    <row r="2421" spans="6:6" x14ac:dyDescent="0.3">
      <c r="F2421" s="1"/>
    </row>
    <row r="2422" spans="6:6" x14ac:dyDescent="0.3">
      <c r="F2422" s="1"/>
    </row>
    <row r="2423" spans="6:6" x14ac:dyDescent="0.3">
      <c r="F2423" s="1"/>
    </row>
    <row r="2424" spans="6:6" x14ac:dyDescent="0.3">
      <c r="F2424" s="1"/>
    </row>
    <row r="2425" spans="6:6" x14ac:dyDescent="0.3">
      <c r="F2425" s="1"/>
    </row>
    <row r="2426" spans="6:6" x14ac:dyDescent="0.3">
      <c r="F2426" s="1"/>
    </row>
    <row r="2427" spans="6:6" x14ac:dyDescent="0.3">
      <c r="F2427" s="1"/>
    </row>
    <row r="2428" spans="6:6" x14ac:dyDescent="0.3">
      <c r="F2428" s="1"/>
    </row>
    <row r="2429" spans="6:6" x14ac:dyDescent="0.3">
      <c r="F2429" s="1"/>
    </row>
    <row r="2430" spans="6:6" x14ac:dyDescent="0.3">
      <c r="F2430" s="1"/>
    </row>
    <row r="2431" spans="6:6" x14ac:dyDescent="0.3">
      <c r="F2431" s="1"/>
    </row>
    <row r="2432" spans="6:6" x14ac:dyDescent="0.3">
      <c r="F2432" s="1"/>
    </row>
    <row r="2433" spans="6:6" x14ac:dyDescent="0.3">
      <c r="F2433" s="1"/>
    </row>
    <row r="2434" spans="6:6" x14ac:dyDescent="0.3">
      <c r="F2434" s="1"/>
    </row>
    <row r="2435" spans="6:6" x14ac:dyDescent="0.3">
      <c r="F2435" s="1"/>
    </row>
    <row r="2436" spans="6:6" x14ac:dyDescent="0.3">
      <c r="F2436" s="1"/>
    </row>
    <row r="2437" spans="6:6" x14ac:dyDescent="0.3">
      <c r="F2437" s="1"/>
    </row>
    <row r="2438" spans="6:6" x14ac:dyDescent="0.3">
      <c r="F2438" s="1"/>
    </row>
    <row r="2439" spans="6:6" x14ac:dyDescent="0.3">
      <c r="F2439" s="1"/>
    </row>
    <row r="2440" spans="6:6" x14ac:dyDescent="0.3">
      <c r="F2440" s="1"/>
    </row>
    <row r="2441" spans="6:6" x14ac:dyDescent="0.3">
      <c r="F2441" s="1"/>
    </row>
    <row r="2442" spans="6:6" x14ac:dyDescent="0.3">
      <c r="F2442" s="1"/>
    </row>
    <row r="2443" spans="6:6" x14ac:dyDescent="0.3">
      <c r="F2443" s="1"/>
    </row>
    <row r="2444" spans="6:6" x14ac:dyDescent="0.3">
      <c r="F2444" s="1"/>
    </row>
    <row r="2445" spans="6:6" x14ac:dyDescent="0.3">
      <c r="F2445" s="1"/>
    </row>
    <row r="2446" spans="6:6" x14ac:dyDescent="0.3">
      <c r="F2446" s="1"/>
    </row>
    <row r="2447" spans="6:6" x14ac:dyDescent="0.3">
      <c r="F2447" s="1"/>
    </row>
    <row r="2448" spans="6:6" x14ac:dyDescent="0.3">
      <c r="F2448" s="1"/>
    </row>
    <row r="2449" spans="6:6" x14ac:dyDescent="0.3">
      <c r="F2449" s="1"/>
    </row>
    <row r="2450" spans="6:6" x14ac:dyDescent="0.3">
      <c r="F2450" s="1"/>
    </row>
    <row r="2451" spans="6:6" x14ac:dyDescent="0.3">
      <c r="F2451" s="1"/>
    </row>
    <row r="2452" spans="6:6" x14ac:dyDescent="0.3">
      <c r="F2452" s="1"/>
    </row>
    <row r="2453" spans="6:6" x14ac:dyDescent="0.3">
      <c r="F2453" s="1"/>
    </row>
    <row r="2454" spans="6:6" x14ac:dyDescent="0.3">
      <c r="F2454" s="1"/>
    </row>
    <row r="2455" spans="6:6" x14ac:dyDescent="0.3">
      <c r="F2455" s="1"/>
    </row>
    <row r="2456" spans="6:6" x14ac:dyDescent="0.3">
      <c r="F2456" s="1"/>
    </row>
    <row r="2457" spans="6:6" x14ac:dyDescent="0.3">
      <c r="F2457" s="1"/>
    </row>
    <row r="2458" spans="6:6" x14ac:dyDescent="0.3">
      <c r="F2458" s="1"/>
    </row>
    <row r="2459" spans="6:6" x14ac:dyDescent="0.3">
      <c r="F2459" s="1"/>
    </row>
    <row r="2460" spans="6:6" x14ac:dyDescent="0.3">
      <c r="F2460" s="1"/>
    </row>
    <row r="2461" spans="6:6" x14ac:dyDescent="0.3">
      <c r="F2461" s="1"/>
    </row>
    <row r="2462" spans="6:6" x14ac:dyDescent="0.3">
      <c r="F2462" s="1"/>
    </row>
    <row r="2463" spans="6:6" x14ac:dyDescent="0.3">
      <c r="F2463" s="1"/>
    </row>
    <row r="2464" spans="6:6" x14ac:dyDescent="0.3">
      <c r="F2464" s="1"/>
    </row>
    <row r="2465" spans="6:6" x14ac:dyDescent="0.3">
      <c r="F2465" s="1"/>
    </row>
    <row r="2466" spans="6:6" x14ac:dyDescent="0.3">
      <c r="F2466" s="1"/>
    </row>
    <row r="2467" spans="6:6" x14ac:dyDescent="0.3">
      <c r="F2467" s="1"/>
    </row>
    <row r="2468" spans="6:6" x14ac:dyDescent="0.3">
      <c r="F2468" s="1"/>
    </row>
    <row r="2469" spans="6:6" x14ac:dyDescent="0.3">
      <c r="F2469" s="1"/>
    </row>
    <row r="2470" spans="6:6" x14ac:dyDescent="0.3">
      <c r="F2470" s="1"/>
    </row>
    <row r="2471" spans="6:6" x14ac:dyDescent="0.3">
      <c r="F2471" s="1"/>
    </row>
    <row r="2472" spans="6:6" x14ac:dyDescent="0.3">
      <c r="F2472" s="1"/>
    </row>
    <row r="2473" spans="6:6" x14ac:dyDescent="0.3">
      <c r="F2473" s="1"/>
    </row>
    <row r="2474" spans="6:6" x14ac:dyDescent="0.3">
      <c r="F2474" s="1"/>
    </row>
    <row r="2475" spans="6:6" x14ac:dyDescent="0.3">
      <c r="F2475" s="1"/>
    </row>
    <row r="2476" spans="6:6" x14ac:dyDescent="0.3">
      <c r="F2476" s="1"/>
    </row>
    <row r="2477" spans="6:6" x14ac:dyDescent="0.3">
      <c r="F2477" s="1"/>
    </row>
    <row r="2478" spans="6:6" x14ac:dyDescent="0.3">
      <c r="F2478" s="1"/>
    </row>
    <row r="2479" spans="6:6" x14ac:dyDescent="0.3">
      <c r="F2479" s="1"/>
    </row>
    <row r="2480" spans="6:6" x14ac:dyDescent="0.3">
      <c r="F2480" s="1"/>
    </row>
    <row r="2481" spans="6:6" x14ac:dyDescent="0.3">
      <c r="F2481" s="1"/>
    </row>
    <row r="2482" spans="6:6" x14ac:dyDescent="0.3">
      <c r="F2482" s="1"/>
    </row>
    <row r="2483" spans="6:6" x14ac:dyDescent="0.3">
      <c r="F2483" s="1"/>
    </row>
    <row r="2484" spans="6:6" x14ac:dyDescent="0.3">
      <c r="F2484" s="1"/>
    </row>
    <row r="2485" spans="6:6" x14ac:dyDescent="0.3">
      <c r="F2485" s="1"/>
    </row>
    <row r="2486" spans="6:6" x14ac:dyDescent="0.3">
      <c r="F2486" s="1"/>
    </row>
    <row r="2487" spans="6:6" x14ac:dyDescent="0.3">
      <c r="F2487" s="1"/>
    </row>
    <row r="2488" spans="6:6" x14ac:dyDescent="0.3">
      <c r="F2488" s="1"/>
    </row>
    <row r="2489" spans="6:6" x14ac:dyDescent="0.3">
      <c r="F2489" s="1"/>
    </row>
    <row r="2490" spans="6:6" x14ac:dyDescent="0.3">
      <c r="F2490" s="1"/>
    </row>
    <row r="2491" spans="6:6" x14ac:dyDescent="0.3">
      <c r="F2491" s="1"/>
    </row>
    <row r="2492" spans="6:6" x14ac:dyDescent="0.3">
      <c r="F2492" s="1"/>
    </row>
    <row r="2493" spans="6:6" x14ac:dyDescent="0.3">
      <c r="F2493" s="1"/>
    </row>
    <row r="2494" spans="6:6" x14ac:dyDescent="0.3">
      <c r="F2494" s="1"/>
    </row>
    <row r="2495" spans="6:6" x14ac:dyDescent="0.3">
      <c r="F2495" s="1"/>
    </row>
    <row r="2496" spans="6:6" x14ac:dyDescent="0.3">
      <c r="F2496" s="1"/>
    </row>
    <row r="2497" spans="6:6" x14ac:dyDescent="0.3">
      <c r="F2497" s="1"/>
    </row>
    <row r="2498" spans="6:6" x14ac:dyDescent="0.3">
      <c r="F2498" s="1"/>
    </row>
    <row r="2499" spans="6:6" x14ac:dyDescent="0.3">
      <c r="F2499" s="1"/>
    </row>
    <row r="2500" spans="6:6" x14ac:dyDescent="0.3">
      <c r="F2500" s="1"/>
    </row>
    <row r="2501" spans="6:6" x14ac:dyDescent="0.3">
      <c r="F2501" s="1"/>
    </row>
    <row r="2502" spans="6:6" x14ac:dyDescent="0.3">
      <c r="F2502" s="1"/>
    </row>
    <row r="2503" spans="6:6" x14ac:dyDescent="0.3">
      <c r="F2503" s="1"/>
    </row>
    <row r="2504" spans="6:6" x14ac:dyDescent="0.3">
      <c r="F2504" s="1"/>
    </row>
    <row r="2505" spans="6:6" x14ac:dyDescent="0.3">
      <c r="F2505" s="1"/>
    </row>
    <row r="2506" spans="6:6" x14ac:dyDescent="0.3">
      <c r="F2506" s="1"/>
    </row>
    <row r="2507" spans="6:6" x14ac:dyDescent="0.3">
      <c r="F2507" s="1"/>
    </row>
    <row r="2508" spans="6:6" x14ac:dyDescent="0.3">
      <c r="F2508" s="1"/>
    </row>
    <row r="2509" spans="6:6" x14ac:dyDescent="0.3">
      <c r="F2509" s="1"/>
    </row>
    <row r="2510" spans="6:6" x14ac:dyDescent="0.3">
      <c r="F2510" s="1"/>
    </row>
    <row r="2511" spans="6:6" x14ac:dyDescent="0.3">
      <c r="F2511" s="1"/>
    </row>
    <row r="2512" spans="6:6" x14ac:dyDescent="0.3">
      <c r="F2512" s="1"/>
    </row>
    <row r="2513" spans="6:6" x14ac:dyDescent="0.3">
      <c r="F2513" s="1"/>
    </row>
    <row r="2514" spans="6:6" x14ac:dyDescent="0.3">
      <c r="F2514" s="1"/>
    </row>
    <row r="2515" spans="6:6" x14ac:dyDescent="0.3">
      <c r="F2515" s="1"/>
    </row>
    <row r="2516" spans="6:6" x14ac:dyDescent="0.3">
      <c r="F2516" s="1"/>
    </row>
    <row r="2517" spans="6:6" x14ac:dyDescent="0.3">
      <c r="F2517" s="1"/>
    </row>
    <row r="2518" spans="6:6" x14ac:dyDescent="0.3">
      <c r="F2518" s="1"/>
    </row>
    <row r="2519" spans="6:6" x14ac:dyDescent="0.3">
      <c r="F2519" s="1"/>
    </row>
    <row r="2520" spans="6:6" x14ac:dyDescent="0.3">
      <c r="F2520" s="1"/>
    </row>
    <row r="2521" spans="6:6" x14ac:dyDescent="0.3">
      <c r="F2521" s="1"/>
    </row>
    <row r="2522" spans="6:6" x14ac:dyDescent="0.3">
      <c r="F2522" s="1"/>
    </row>
    <row r="2523" spans="6:6" x14ac:dyDescent="0.3">
      <c r="F2523" s="1"/>
    </row>
    <row r="2524" spans="6:6" x14ac:dyDescent="0.3">
      <c r="F2524" s="1"/>
    </row>
    <row r="2525" spans="6:6" x14ac:dyDescent="0.3">
      <c r="F2525" s="1"/>
    </row>
    <row r="2526" spans="6:6" x14ac:dyDescent="0.3">
      <c r="F2526" s="1"/>
    </row>
    <row r="2527" spans="6:6" x14ac:dyDescent="0.3">
      <c r="F2527" s="1"/>
    </row>
    <row r="2528" spans="6:6" x14ac:dyDescent="0.3">
      <c r="F2528" s="1"/>
    </row>
    <row r="2529" spans="6:6" x14ac:dyDescent="0.3">
      <c r="F2529" s="1"/>
    </row>
    <row r="2530" spans="6:6" x14ac:dyDescent="0.3">
      <c r="F2530" s="1"/>
    </row>
    <row r="2531" spans="6:6" x14ac:dyDescent="0.3">
      <c r="F2531" s="1"/>
    </row>
    <row r="2532" spans="6:6" x14ac:dyDescent="0.3">
      <c r="F2532" s="1"/>
    </row>
    <row r="2533" spans="6:6" x14ac:dyDescent="0.3">
      <c r="F2533" s="1"/>
    </row>
    <row r="2534" spans="6:6" x14ac:dyDescent="0.3">
      <c r="F2534" s="1"/>
    </row>
    <row r="2535" spans="6:6" x14ac:dyDescent="0.3">
      <c r="F2535" s="1"/>
    </row>
    <row r="2536" spans="6:6" x14ac:dyDescent="0.3">
      <c r="F2536" s="1"/>
    </row>
    <row r="2537" spans="6:6" x14ac:dyDescent="0.3">
      <c r="F2537" s="1"/>
    </row>
    <row r="2538" spans="6:6" x14ac:dyDescent="0.3">
      <c r="F2538" s="1"/>
    </row>
    <row r="2539" spans="6:6" x14ac:dyDescent="0.3">
      <c r="F2539" s="1"/>
    </row>
    <row r="2540" spans="6:6" x14ac:dyDescent="0.3">
      <c r="F2540" s="1"/>
    </row>
    <row r="2541" spans="6:6" x14ac:dyDescent="0.3">
      <c r="F2541" s="1"/>
    </row>
    <row r="2542" spans="6:6" x14ac:dyDescent="0.3">
      <c r="F2542" s="1"/>
    </row>
    <row r="2543" spans="6:6" x14ac:dyDescent="0.3">
      <c r="F2543" s="1"/>
    </row>
    <row r="2544" spans="6:6" x14ac:dyDescent="0.3">
      <c r="F2544" s="1"/>
    </row>
    <row r="2545" spans="6:6" x14ac:dyDescent="0.3">
      <c r="F2545" s="1"/>
    </row>
    <row r="2546" spans="6:6" x14ac:dyDescent="0.3">
      <c r="F2546" s="1"/>
    </row>
    <row r="2547" spans="6:6" x14ac:dyDescent="0.3">
      <c r="F2547" s="1"/>
    </row>
    <row r="2548" spans="6:6" x14ac:dyDescent="0.3">
      <c r="F2548" s="1"/>
    </row>
    <row r="2549" spans="6:6" x14ac:dyDescent="0.3">
      <c r="F2549" s="1"/>
    </row>
    <row r="2550" spans="6:6" x14ac:dyDescent="0.3">
      <c r="F2550" s="1"/>
    </row>
    <row r="2551" spans="6:6" x14ac:dyDescent="0.3">
      <c r="F2551" s="1"/>
    </row>
    <row r="2552" spans="6:6" x14ac:dyDescent="0.3">
      <c r="F2552" s="1"/>
    </row>
    <row r="2553" spans="6:6" x14ac:dyDescent="0.3">
      <c r="F2553" s="1"/>
    </row>
    <row r="2554" spans="6:6" x14ac:dyDescent="0.3">
      <c r="F2554" s="1"/>
    </row>
    <row r="2555" spans="6:6" x14ac:dyDescent="0.3">
      <c r="F2555" s="1"/>
    </row>
    <row r="2556" spans="6:6" x14ac:dyDescent="0.3">
      <c r="F2556" s="1"/>
    </row>
    <row r="2557" spans="6:6" x14ac:dyDescent="0.3">
      <c r="F2557" s="1"/>
    </row>
    <row r="2558" spans="6:6" x14ac:dyDescent="0.3">
      <c r="F2558" s="1"/>
    </row>
    <row r="2559" spans="6:6" x14ac:dyDescent="0.3">
      <c r="F2559" s="1"/>
    </row>
    <row r="2560" spans="6:6" x14ac:dyDescent="0.3">
      <c r="F2560" s="1"/>
    </row>
    <row r="2561" spans="6:6" x14ac:dyDescent="0.3">
      <c r="F2561" s="1"/>
    </row>
    <row r="2562" spans="6:6" x14ac:dyDescent="0.3">
      <c r="F2562" s="1"/>
    </row>
    <row r="2563" spans="6:6" x14ac:dyDescent="0.3">
      <c r="F2563" s="1"/>
    </row>
    <row r="2564" spans="6:6" x14ac:dyDescent="0.3">
      <c r="F2564" s="1"/>
    </row>
    <row r="2565" spans="6:6" x14ac:dyDescent="0.3">
      <c r="F2565" s="1"/>
    </row>
    <row r="2566" spans="6:6" x14ac:dyDescent="0.3">
      <c r="F2566" s="1"/>
    </row>
    <row r="2567" spans="6:6" x14ac:dyDescent="0.3">
      <c r="F2567" s="1"/>
    </row>
    <row r="2568" spans="6:6" x14ac:dyDescent="0.3">
      <c r="F2568" s="1"/>
    </row>
    <row r="2569" spans="6:6" x14ac:dyDescent="0.3">
      <c r="F2569" s="1"/>
    </row>
    <row r="2570" spans="6:6" x14ac:dyDescent="0.3">
      <c r="F2570" s="1"/>
    </row>
    <row r="2571" spans="6:6" x14ac:dyDescent="0.3">
      <c r="F2571" s="1"/>
    </row>
    <row r="2572" spans="6:6" x14ac:dyDescent="0.3">
      <c r="F2572" s="1"/>
    </row>
    <row r="2573" spans="6:6" x14ac:dyDescent="0.3">
      <c r="F2573" s="1"/>
    </row>
    <row r="2574" spans="6:6" x14ac:dyDescent="0.3">
      <c r="F2574" s="1"/>
    </row>
    <row r="2575" spans="6:6" x14ac:dyDescent="0.3">
      <c r="F2575" s="1"/>
    </row>
    <row r="2576" spans="6:6" x14ac:dyDescent="0.3">
      <c r="F2576" s="1"/>
    </row>
    <row r="2577" spans="6:6" x14ac:dyDescent="0.3">
      <c r="F2577" s="1"/>
    </row>
    <row r="2578" spans="6:6" x14ac:dyDescent="0.3">
      <c r="F2578" s="1"/>
    </row>
    <row r="2579" spans="6:6" x14ac:dyDescent="0.3">
      <c r="F2579" s="1"/>
    </row>
    <row r="2580" spans="6:6" x14ac:dyDescent="0.3">
      <c r="F2580" s="1"/>
    </row>
    <row r="2581" spans="6:6" x14ac:dyDescent="0.3">
      <c r="F2581" s="1"/>
    </row>
    <row r="2582" spans="6:6" x14ac:dyDescent="0.3">
      <c r="F2582" s="1"/>
    </row>
    <row r="2583" spans="6:6" x14ac:dyDescent="0.3">
      <c r="F2583" s="1"/>
    </row>
    <row r="2584" spans="6:6" x14ac:dyDescent="0.3">
      <c r="F2584" s="1"/>
    </row>
    <row r="2585" spans="6:6" x14ac:dyDescent="0.3">
      <c r="F2585" s="1"/>
    </row>
    <row r="2586" spans="6:6" x14ac:dyDescent="0.3">
      <c r="F2586" s="1"/>
    </row>
    <row r="2587" spans="6:6" x14ac:dyDescent="0.3">
      <c r="F2587" s="1"/>
    </row>
    <row r="2588" spans="6:6" x14ac:dyDescent="0.3">
      <c r="F2588" s="1"/>
    </row>
    <row r="2589" spans="6:6" x14ac:dyDescent="0.3">
      <c r="F2589" s="1"/>
    </row>
    <row r="2590" spans="6:6" x14ac:dyDescent="0.3">
      <c r="F2590" s="1"/>
    </row>
    <row r="2591" spans="6:6" x14ac:dyDescent="0.3">
      <c r="F2591" s="1"/>
    </row>
    <row r="2592" spans="6:6" x14ac:dyDescent="0.3">
      <c r="F2592" s="1"/>
    </row>
    <row r="2593" spans="6:6" x14ac:dyDescent="0.3">
      <c r="F2593" s="1"/>
    </row>
    <row r="2594" spans="6:6" x14ac:dyDescent="0.3">
      <c r="F2594" s="1"/>
    </row>
    <row r="2595" spans="6:6" x14ac:dyDescent="0.3">
      <c r="F2595" s="1"/>
    </row>
    <row r="2596" spans="6:6" x14ac:dyDescent="0.3">
      <c r="F2596" s="1"/>
    </row>
    <row r="2597" spans="6:6" x14ac:dyDescent="0.3">
      <c r="F2597" s="1"/>
    </row>
    <row r="2598" spans="6:6" x14ac:dyDescent="0.3">
      <c r="F2598" s="1"/>
    </row>
    <row r="2599" spans="6:6" x14ac:dyDescent="0.3">
      <c r="F2599" s="1"/>
    </row>
    <row r="2600" spans="6:6" x14ac:dyDescent="0.3">
      <c r="F2600" s="1"/>
    </row>
    <row r="2601" spans="6:6" x14ac:dyDescent="0.3">
      <c r="F2601" s="1"/>
    </row>
    <row r="2602" spans="6:6" x14ac:dyDescent="0.3">
      <c r="F2602" s="1"/>
    </row>
    <row r="2603" spans="6:6" x14ac:dyDescent="0.3">
      <c r="F2603" s="1"/>
    </row>
    <row r="2604" spans="6:6" x14ac:dyDescent="0.3">
      <c r="F2604" s="1"/>
    </row>
    <row r="2605" spans="6:6" x14ac:dyDescent="0.3">
      <c r="F2605" s="1"/>
    </row>
    <row r="2606" spans="6:6" x14ac:dyDescent="0.3">
      <c r="F2606" s="1"/>
    </row>
    <row r="2607" spans="6:6" x14ac:dyDescent="0.3">
      <c r="F2607" s="1"/>
    </row>
    <row r="2608" spans="6:6" x14ac:dyDescent="0.3">
      <c r="F2608" s="1"/>
    </row>
    <row r="2609" spans="6:6" x14ac:dyDescent="0.3">
      <c r="F2609" s="1"/>
    </row>
    <row r="2610" spans="6:6" x14ac:dyDescent="0.3">
      <c r="F2610" s="1"/>
    </row>
    <row r="2611" spans="6:6" x14ac:dyDescent="0.3">
      <c r="F2611" s="1"/>
    </row>
    <row r="2612" spans="6:6" x14ac:dyDescent="0.3">
      <c r="F2612" s="1"/>
    </row>
    <row r="2613" spans="6:6" x14ac:dyDescent="0.3">
      <c r="F2613" s="1"/>
    </row>
    <row r="2614" spans="6:6" x14ac:dyDescent="0.3">
      <c r="F2614" s="1"/>
    </row>
    <row r="2615" spans="6:6" x14ac:dyDescent="0.3">
      <c r="F2615" s="1"/>
    </row>
    <row r="2616" spans="6:6" x14ac:dyDescent="0.3">
      <c r="F2616" s="1"/>
    </row>
    <row r="2617" spans="6:6" x14ac:dyDescent="0.3">
      <c r="F2617" s="1"/>
    </row>
    <row r="2618" spans="6:6" x14ac:dyDescent="0.3">
      <c r="F2618" s="1"/>
    </row>
    <row r="2619" spans="6:6" x14ac:dyDescent="0.3">
      <c r="F2619" s="1"/>
    </row>
    <row r="2620" spans="6:6" x14ac:dyDescent="0.3">
      <c r="F2620" s="1"/>
    </row>
    <row r="2621" spans="6:6" x14ac:dyDescent="0.3">
      <c r="F2621" s="1"/>
    </row>
    <row r="2622" spans="6:6" x14ac:dyDescent="0.3">
      <c r="F2622" s="1"/>
    </row>
    <row r="2623" spans="6:6" x14ac:dyDescent="0.3">
      <c r="F2623" s="1"/>
    </row>
    <row r="2624" spans="6:6" x14ac:dyDescent="0.3">
      <c r="F2624" s="1"/>
    </row>
    <row r="2625" spans="6:6" x14ac:dyDescent="0.3">
      <c r="F2625" s="1"/>
    </row>
    <row r="2626" spans="6:6" x14ac:dyDescent="0.3">
      <c r="F2626" s="1"/>
    </row>
    <row r="2627" spans="6:6" x14ac:dyDescent="0.3">
      <c r="F2627" s="1"/>
    </row>
    <row r="2628" spans="6:6" x14ac:dyDescent="0.3">
      <c r="F2628" s="1"/>
    </row>
    <row r="2629" spans="6:6" x14ac:dyDescent="0.3">
      <c r="F2629" s="1"/>
    </row>
    <row r="2630" spans="6:6" x14ac:dyDescent="0.3">
      <c r="F2630" s="1"/>
    </row>
    <row r="2631" spans="6:6" x14ac:dyDescent="0.3">
      <c r="F2631" s="1"/>
    </row>
    <row r="2632" spans="6:6" x14ac:dyDescent="0.3">
      <c r="F2632" s="1"/>
    </row>
    <row r="2633" spans="6:6" x14ac:dyDescent="0.3">
      <c r="F2633" s="1"/>
    </row>
    <row r="2634" spans="6:6" x14ac:dyDescent="0.3">
      <c r="F2634" s="1"/>
    </row>
    <row r="2635" spans="6:6" x14ac:dyDescent="0.3">
      <c r="F2635" s="1"/>
    </row>
    <row r="2636" spans="6:6" x14ac:dyDescent="0.3">
      <c r="F2636" s="1"/>
    </row>
    <row r="2637" spans="6:6" x14ac:dyDescent="0.3">
      <c r="F2637" s="1"/>
    </row>
    <row r="2638" spans="6:6" x14ac:dyDescent="0.3">
      <c r="F2638" s="1"/>
    </row>
    <row r="2639" spans="6:6" x14ac:dyDescent="0.3">
      <c r="F2639" s="1"/>
    </row>
    <row r="2640" spans="6:6" x14ac:dyDescent="0.3">
      <c r="F2640" s="1"/>
    </row>
    <row r="2641" spans="6:6" x14ac:dyDescent="0.3">
      <c r="F2641" s="1"/>
    </row>
    <row r="2642" spans="6:6" x14ac:dyDescent="0.3">
      <c r="F2642" s="1"/>
    </row>
    <row r="2643" spans="6:6" x14ac:dyDescent="0.3">
      <c r="F2643" s="1"/>
    </row>
    <row r="2644" spans="6:6" x14ac:dyDescent="0.3">
      <c r="F2644" s="1"/>
    </row>
    <row r="2645" spans="6:6" x14ac:dyDescent="0.3">
      <c r="F2645" s="1"/>
    </row>
    <row r="2646" spans="6:6" x14ac:dyDescent="0.3">
      <c r="F2646" s="1"/>
    </row>
    <row r="2647" spans="6:6" x14ac:dyDescent="0.3">
      <c r="F2647" s="1"/>
    </row>
    <row r="2648" spans="6:6" x14ac:dyDescent="0.3">
      <c r="F2648" s="1"/>
    </row>
    <row r="2649" spans="6:6" x14ac:dyDescent="0.3">
      <c r="F2649" s="1"/>
    </row>
    <row r="2650" spans="6:6" x14ac:dyDescent="0.3">
      <c r="F2650" s="1"/>
    </row>
    <row r="2651" spans="6:6" x14ac:dyDescent="0.3">
      <c r="F2651" s="1"/>
    </row>
    <row r="2652" spans="6:6" x14ac:dyDescent="0.3">
      <c r="F2652" s="1"/>
    </row>
    <row r="2653" spans="6:6" x14ac:dyDescent="0.3">
      <c r="F2653" s="1"/>
    </row>
    <row r="2654" spans="6:6" x14ac:dyDescent="0.3">
      <c r="F2654" s="1"/>
    </row>
    <row r="2655" spans="6:6" x14ac:dyDescent="0.3">
      <c r="F2655" s="1"/>
    </row>
    <row r="2656" spans="6:6" x14ac:dyDescent="0.3">
      <c r="F2656" s="1"/>
    </row>
    <row r="2657" spans="6:6" x14ac:dyDescent="0.3">
      <c r="F2657" s="1"/>
    </row>
    <row r="2658" spans="6:6" x14ac:dyDescent="0.3">
      <c r="F2658" s="1"/>
    </row>
    <row r="2659" spans="6:6" x14ac:dyDescent="0.3">
      <c r="F2659" s="1"/>
    </row>
    <row r="2660" spans="6:6" x14ac:dyDescent="0.3">
      <c r="F2660" s="1"/>
    </row>
    <row r="2661" spans="6:6" x14ac:dyDescent="0.3">
      <c r="F2661" s="1"/>
    </row>
    <row r="2662" spans="6:6" x14ac:dyDescent="0.3">
      <c r="F2662" s="1"/>
    </row>
    <row r="2663" spans="6:6" x14ac:dyDescent="0.3">
      <c r="F2663" s="1"/>
    </row>
    <row r="2664" spans="6:6" x14ac:dyDescent="0.3">
      <c r="F2664" s="1"/>
    </row>
    <row r="2665" spans="6:6" x14ac:dyDescent="0.3">
      <c r="F2665" s="1"/>
    </row>
    <row r="2666" spans="6:6" x14ac:dyDescent="0.3">
      <c r="F2666" s="1"/>
    </row>
    <row r="2667" spans="6:6" x14ac:dyDescent="0.3">
      <c r="F2667" s="1"/>
    </row>
    <row r="2668" spans="6:6" x14ac:dyDescent="0.3">
      <c r="F2668" s="1"/>
    </row>
    <row r="2669" spans="6:6" x14ac:dyDescent="0.3">
      <c r="F2669" s="1"/>
    </row>
    <row r="2670" spans="6:6" x14ac:dyDescent="0.3">
      <c r="F2670" s="1"/>
    </row>
    <row r="2671" spans="6:6" x14ac:dyDescent="0.3">
      <c r="F2671" s="1"/>
    </row>
    <row r="2672" spans="6:6" x14ac:dyDescent="0.3">
      <c r="F2672" s="1"/>
    </row>
    <row r="2673" spans="6:6" x14ac:dyDescent="0.3">
      <c r="F2673" s="1"/>
    </row>
    <row r="2674" spans="6:6" x14ac:dyDescent="0.3">
      <c r="F2674" s="1"/>
    </row>
    <row r="2675" spans="6:6" x14ac:dyDescent="0.3">
      <c r="F2675" s="1"/>
    </row>
    <row r="2676" spans="6:6" x14ac:dyDescent="0.3">
      <c r="F2676" s="1"/>
    </row>
    <row r="2677" spans="6:6" x14ac:dyDescent="0.3">
      <c r="F2677" s="1"/>
    </row>
    <row r="2678" spans="6:6" x14ac:dyDescent="0.3">
      <c r="F2678" s="1"/>
    </row>
    <row r="2679" spans="6:6" x14ac:dyDescent="0.3">
      <c r="F2679" s="1"/>
    </row>
    <row r="2680" spans="6:6" x14ac:dyDescent="0.3">
      <c r="F2680" s="1"/>
    </row>
    <row r="2681" spans="6:6" x14ac:dyDescent="0.3">
      <c r="F2681" s="1"/>
    </row>
    <row r="2682" spans="6:6" x14ac:dyDescent="0.3">
      <c r="F2682" s="1"/>
    </row>
    <row r="2683" spans="6:6" x14ac:dyDescent="0.3">
      <c r="F2683" s="1"/>
    </row>
    <row r="2684" spans="6:6" x14ac:dyDescent="0.3">
      <c r="F2684" s="1"/>
    </row>
    <row r="2685" spans="6:6" x14ac:dyDescent="0.3">
      <c r="F2685" s="1"/>
    </row>
    <row r="2686" spans="6:6" x14ac:dyDescent="0.3">
      <c r="F2686" s="1"/>
    </row>
    <row r="2687" spans="6:6" x14ac:dyDescent="0.3">
      <c r="F2687" s="1"/>
    </row>
    <row r="2688" spans="6:6" x14ac:dyDescent="0.3">
      <c r="F2688" s="1"/>
    </row>
    <row r="2689" spans="6:6" x14ac:dyDescent="0.3">
      <c r="F2689" s="1"/>
    </row>
    <row r="2690" spans="6:6" x14ac:dyDescent="0.3">
      <c r="F2690" s="1"/>
    </row>
    <row r="2691" spans="6:6" x14ac:dyDescent="0.3">
      <c r="F2691" s="1"/>
    </row>
    <row r="2692" spans="6:6" x14ac:dyDescent="0.3">
      <c r="F2692" s="1"/>
    </row>
    <row r="2693" spans="6:6" x14ac:dyDescent="0.3">
      <c r="F2693" s="1"/>
    </row>
    <row r="2694" spans="6:6" x14ac:dyDescent="0.3">
      <c r="F2694" s="1"/>
    </row>
    <row r="2695" spans="6:6" x14ac:dyDescent="0.3">
      <c r="F2695" s="1"/>
    </row>
    <row r="2696" spans="6:6" x14ac:dyDescent="0.3">
      <c r="F2696" s="1"/>
    </row>
    <row r="2697" spans="6:6" x14ac:dyDescent="0.3">
      <c r="F2697" s="1"/>
    </row>
    <row r="2698" spans="6:6" x14ac:dyDescent="0.3">
      <c r="F2698" s="1"/>
    </row>
    <row r="2699" spans="6:6" x14ac:dyDescent="0.3">
      <c r="F2699" s="1"/>
    </row>
    <row r="2700" spans="6:6" x14ac:dyDescent="0.3">
      <c r="F2700" s="1"/>
    </row>
    <row r="2701" spans="6:6" x14ac:dyDescent="0.3">
      <c r="F2701" s="1"/>
    </row>
    <row r="2702" spans="6:6" x14ac:dyDescent="0.3">
      <c r="F2702" s="1"/>
    </row>
    <row r="2703" spans="6:6" x14ac:dyDescent="0.3">
      <c r="F2703" s="1"/>
    </row>
    <row r="2704" spans="6:6" x14ac:dyDescent="0.3">
      <c r="F2704" s="1"/>
    </row>
    <row r="2705" spans="6:6" x14ac:dyDescent="0.3">
      <c r="F2705" s="1"/>
    </row>
    <row r="2706" spans="6:6" x14ac:dyDescent="0.3">
      <c r="F2706" s="1"/>
    </row>
    <row r="2707" spans="6:6" x14ac:dyDescent="0.3">
      <c r="F2707" s="1"/>
    </row>
    <row r="2708" spans="6:6" x14ac:dyDescent="0.3">
      <c r="F2708" s="1"/>
    </row>
    <row r="2709" spans="6:6" x14ac:dyDescent="0.3">
      <c r="F2709" s="1"/>
    </row>
    <row r="2710" spans="6:6" x14ac:dyDescent="0.3">
      <c r="F2710" s="1"/>
    </row>
    <row r="2711" spans="6:6" x14ac:dyDescent="0.3">
      <c r="F2711" s="1"/>
    </row>
    <row r="2712" spans="6:6" x14ac:dyDescent="0.3">
      <c r="F2712" s="1"/>
    </row>
    <row r="2713" spans="6:6" x14ac:dyDescent="0.3">
      <c r="F2713" s="1"/>
    </row>
    <row r="2714" spans="6:6" x14ac:dyDescent="0.3">
      <c r="F2714" s="1"/>
    </row>
    <row r="2715" spans="6:6" x14ac:dyDescent="0.3">
      <c r="F2715" s="1"/>
    </row>
    <row r="2716" spans="6:6" x14ac:dyDescent="0.3">
      <c r="F2716" s="1"/>
    </row>
    <row r="2717" spans="6:6" x14ac:dyDescent="0.3">
      <c r="F2717" s="1"/>
    </row>
    <row r="2718" spans="6:6" x14ac:dyDescent="0.3">
      <c r="F2718" s="1"/>
    </row>
    <row r="2719" spans="6:6" x14ac:dyDescent="0.3">
      <c r="F2719" s="1"/>
    </row>
    <row r="2720" spans="6:6" x14ac:dyDescent="0.3">
      <c r="F2720" s="1"/>
    </row>
    <row r="2721" spans="6:6" x14ac:dyDescent="0.3">
      <c r="F2721" s="1"/>
    </row>
    <row r="2722" spans="6:6" x14ac:dyDescent="0.3">
      <c r="F2722" s="1"/>
    </row>
    <row r="2723" spans="6:6" x14ac:dyDescent="0.3">
      <c r="F2723" s="1"/>
    </row>
    <row r="2724" spans="6:6" x14ac:dyDescent="0.3">
      <c r="F2724" s="1"/>
    </row>
    <row r="2725" spans="6:6" x14ac:dyDescent="0.3">
      <c r="F2725" s="1"/>
    </row>
    <row r="2726" spans="6:6" x14ac:dyDescent="0.3">
      <c r="F2726" s="1"/>
    </row>
    <row r="2727" spans="6:6" x14ac:dyDescent="0.3">
      <c r="F2727" s="1"/>
    </row>
    <row r="2728" spans="6:6" x14ac:dyDescent="0.3">
      <c r="F2728" s="1"/>
    </row>
    <row r="2729" spans="6:6" x14ac:dyDescent="0.3">
      <c r="F2729" s="1"/>
    </row>
    <row r="2730" spans="6:6" x14ac:dyDescent="0.3">
      <c r="F2730" s="1"/>
    </row>
    <row r="2731" spans="6:6" x14ac:dyDescent="0.3">
      <c r="F2731" s="1"/>
    </row>
    <row r="2732" spans="6:6" x14ac:dyDescent="0.3">
      <c r="F2732" s="1"/>
    </row>
    <row r="2733" spans="6:6" x14ac:dyDescent="0.3">
      <c r="F2733" s="1"/>
    </row>
    <row r="2734" spans="6:6" x14ac:dyDescent="0.3">
      <c r="F2734" s="1"/>
    </row>
    <row r="2735" spans="6:6" x14ac:dyDescent="0.3">
      <c r="F2735" s="1"/>
    </row>
    <row r="2736" spans="6:6" x14ac:dyDescent="0.3">
      <c r="F2736" s="1"/>
    </row>
    <row r="2737" spans="6:6" x14ac:dyDescent="0.3">
      <c r="F2737" s="1"/>
    </row>
    <row r="2738" spans="6:6" x14ac:dyDescent="0.3">
      <c r="F2738" s="1"/>
    </row>
    <row r="2739" spans="6:6" x14ac:dyDescent="0.3">
      <c r="F2739" s="1"/>
    </row>
    <row r="2740" spans="6:6" x14ac:dyDescent="0.3">
      <c r="F2740" s="1"/>
    </row>
    <row r="2741" spans="6:6" x14ac:dyDescent="0.3">
      <c r="F2741" s="1"/>
    </row>
    <row r="2742" spans="6:6" x14ac:dyDescent="0.3">
      <c r="F2742" s="1"/>
    </row>
    <row r="2743" spans="6:6" x14ac:dyDescent="0.3">
      <c r="F2743" s="1"/>
    </row>
    <row r="2744" spans="6:6" x14ac:dyDescent="0.3">
      <c r="F2744" s="1"/>
    </row>
    <row r="2745" spans="6:6" x14ac:dyDescent="0.3">
      <c r="F2745" s="1"/>
    </row>
    <row r="2746" spans="6:6" x14ac:dyDescent="0.3">
      <c r="F2746" s="1"/>
    </row>
    <row r="2747" spans="6:6" x14ac:dyDescent="0.3">
      <c r="F2747" s="1"/>
    </row>
  </sheetData>
  <autoFilter ref="A1:P1501" xr:uid="{8FEA2D70-1257-4CA3-AC79-F0F2386F5AD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A563B-DDC8-4911-8F4F-ED4880465B96}">
  <sheetPr codeName="Sheet1"/>
  <dimension ref="A1:O93"/>
  <sheetViews>
    <sheetView tabSelected="1" workbookViewId="0">
      <selection activeCell="F11" sqref="F11"/>
    </sheetView>
  </sheetViews>
  <sheetFormatPr defaultRowHeight="14.4" x14ac:dyDescent="0.3"/>
  <cols>
    <col min="1" max="1" width="15.44140625" style="1" bestFit="1" customWidth="1"/>
    <col min="2" max="2" width="12" bestFit="1" customWidth="1"/>
    <col min="3" max="3" width="7.6640625" bestFit="1" customWidth="1"/>
    <col min="4" max="4" width="6.77734375" bestFit="1" customWidth="1"/>
    <col min="5" max="5" width="7.109375" bestFit="1" customWidth="1"/>
    <col min="7" max="7" width="16.44140625" bestFit="1" customWidth="1"/>
    <col min="8" max="8" width="12" bestFit="1" customWidth="1"/>
    <col min="9" max="9" width="13.21875" bestFit="1" customWidth="1"/>
    <col min="12" max="12" width="12.77734375" bestFit="1" customWidth="1"/>
    <col min="15" max="15" width="12" bestFit="1" customWidth="1"/>
  </cols>
  <sheetData>
    <row r="1" spans="1:12" x14ac:dyDescent="0.3">
      <c r="A1" s="10" t="s">
        <v>1554</v>
      </c>
      <c r="B1" s="10" t="s">
        <v>1611</v>
      </c>
      <c r="C1" s="16" t="s">
        <v>1555</v>
      </c>
      <c r="D1" s="10" t="s">
        <v>1612</v>
      </c>
      <c r="E1" s="10" t="s">
        <v>1613</v>
      </c>
    </row>
    <row r="2" spans="1:12" x14ac:dyDescent="0.3">
      <c r="A2" s="1">
        <v>36526</v>
      </c>
      <c r="B2" s="3">
        <v>2.0799999999999999E-2</v>
      </c>
      <c r="C2" s="3">
        <v>0.04</v>
      </c>
      <c r="D2" s="3">
        <v>1.91063E-2</v>
      </c>
      <c r="E2" s="3">
        <v>6.2740900000000002E-2</v>
      </c>
    </row>
    <row r="3" spans="1:12" x14ac:dyDescent="0.3">
      <c r="A3" s="1">
        <v>36617</v>
      </c>
      <c r="B3" s="3">
        <v>2.0499999999999997E-2</v>
      </c>
      <c r="C3" s="3">
        <v>3.9E-2</v>
      </c>
      <c r="D3" s="3">
        <v>1.6355599999999998E-2</v>
      </c>
      <c r="E3" s="3">
        <v>7.5739500000000001E-2</v>
      </c>
    </row>
    <row r="4" spans="1:12" x14ac:dyDescent="0.3">
      <c r="A4" s="1">
        <v>36708</v>
      </c>
      <c r="B4" s="3">
        <v>2.1600000000000001E-2</v>
      </c>
      <c r="C4" s="3">
        <v>0.04</v>
      </c>
      <c r="D4" s="3">
        <v>1.81896E-2</v>
      </c>
      <c r="E4" s="3">
        <v>6.5197000000000005E-2</v>
      </c>
    </row>
    <row r="5" spans="1:12" x14ac:dyDescent="0.3">
      <c r="A5" s="1">
        <v>36800</v>
      </c>
      <c r="B5" s="3">
        <v>2.3700000000000002E-2</v>
      </c>
      <c r="C5" s="3">
        <v>3.9E-2</v>
      </c>
      <c r="D5" s="3">
        <v>1.53005E-2</v>
      </c>
      <c r="E5" s="3">
        <v>5.4097600000000003E-2</v>
      </c>
    </row>
    <row r="6" spans="1:12" x14ac:dyDescent="0.3">
      <c r="A6" s="1">
        <v>36892</v>
      </c>
      <c r="B6" s="3">
        <v>2.41E-2</v>
      </c>
      <c r="C6" s="3">
        <v>4.2000000000000003E-2</v>
      </c>
      <c r="D6" s="3">
        <v>2.47992E-2</v>
      </c>
      <c r="E6" s="3">
        <v>4.6795000000000003E-2</v>
      </c>
    </row>
    <row r="7" spans="1:12" x14ac:dyDescent="0.3">
      <c r="A7" s="1">
        <v>36982</v>
      </c>
      <c r="B7" s="3">
        <v>2.4500000000000001E-2</v>
      </c>
      <c r="C7" s="3">
        <v>4.4000000000000004E-2</v>
      </c>
      <c r="D7" s="3">
        <v>1.6765600000000002E-2</v>
      </c>
      <c r="E7" s="3">
        <v>3.4278799999999998E-2</v>
      </c>
    </row>
    <row r="8" spans="1:12" x14ac:dyDescent="0.3">
      <c r="A8" s="1">
        <v>37073</v>
      </c>
      <c r="B8" s="3">
        <v>2.6800000000000001E-2</v>
      </c>
      <c r="C8" s="3">
        <v>4.8000000000000001E-2</v>
      </c>
      <c r="D8" s="3">
        <v>1.5456099999999999E-2</v>
      </c>
      <c r="E8" s="3">
        <v>2.71226E-2</v>
      </c>
      <c r="G8" s="12"/>
      <c r="H8" s="12"/>
    </row>
    <row r="9" spans="1:12" x14ac:dyDescent="0.3">
      <c r="A9" s="1">
        <v>37165</v>
      </c>
      <c r="B9" s="3">
        <v>2.75E-2</v>
      </c>
      <c r="C9" s="3">
        <v>5.5E-2</v>
      </c>
      <c r="D9" s="3">
        <v>1.2403599999999999E-2</v>
      </c>
      <c r="E9" s="3">
        <v>2.1533799999999999E-2</v>
      </c>
    </row>
    <row r="10" spans="1:12" x14ac:dyDescent="0.3">
      <c r="A10" s="1">
        <v>37257</v>
      </c>
      <c r="B10" s="3">
        <v>2.7000000000000003E-2</v>
      </c>
      <c r="C10" s="3">
        <v>5.7000000000000002E-2</v>
      </c>
      <c r="D10" s="3">
        <v>1.43001E-2</v>
      </c>
      <c r="E10" s="3">
        <v>2.9919999999999999E-2</v>
      </c>
    </row>
    <row r="11" spans="1:12" x14ac:dyDescent="0.3">
      <c r="A11" s="1">
        <v>37347</v>
      </c>
      <c r="B11" s="3">
        <v>2.6000000000000002E-2</v>
      </c>
      <c r="C11" s="3">
        <v>5.7999999999999996E-2</v>
      </c>
      <c r="D11" s="3">
        <v>1.7070600000000002E-2</v>
      </c>
      <c r="E11" s="3">
        <v>2.7215799999999998E-2</v>
      </c>
    </row>
    <row r="12" spans="1:12" x14ac:dyDescent="0.3">
      <c r="A12" s="1">
        <v>37438</v>
      </c>
      <c r="B12" s="3">
        <v>2.6099999999999998E-2</v>
      </c>
      <c r="C12" s="3">
        <v>5.7000000000000002E-2</v>
      </c>
      <c r="D12" s="3">
        <v>1.9818700000000002E-2</v>
      </c>
      <c r="E12" s="3">
        <v>3.6423799999999999E-2</v>
      </c>
      <c r="H12" s="11"/>
      <c r="I12" s="13"/>
    </row>
    <row r="13" spans="1:12" x14ac:dyDescent="0.3">
      <c r="A13" s="1">
        <v>37530</v>
      </c>
      <c r="B13" s="3">
        <v>2.5899999999999999E-2</v>
      </c>
      <c r="C13" s="3">
        <v>5.9000000000000004E-2</v>
      </c>
      <c r="D13" s="3">
        <v>1.4217E-2</v>
      </c>
      <c r="E13" s="3">
        <v>3.7612600000000003E-2</v>
      </c>
    </row>
    <row r="14" spans="1:12" x14ac:dyDescent="0.3">
      <c r="A14" s="1">
        <v>37622</v>
      </c>
      <c r="B14" s="3">
        <v>2.4900000000000002E-2</v>
      </c>
      <c r="C14" s="3">
        <v>5.9000000000000004E-2</v>
      </c>
      <c r="D14" s="3">
        <v>1.21704E-2</v>
      </c>
      <c r="E14" s="3">
        <v>3.6224699999999999E-2</v>
      </c>
    </row>
    <row r="15" spans="1:12" x14ac:dyDescent="0.3">
      <c r="A15" s="1">
        <v>37712</v>
      </c>
      <c r="B15" s="3">
        <v>2.29E-2</v>
      </c>
      <c r="C15" s="3">
        <v>6.0999999999999999E-2</v>
      </c>
      <c r="D15" s="3">
        <v>1.2202999999999999E-2</v>
      </c>
      <c r="E15" s="3">
        <v>3.9063800000000003E-2</v>
      </c>
    </row>
    <row r="16" spans="1:12" x14ac:dyDescent="0.3">
      <c r="A16" s="1">
        <v>37803</v>
      </c>
      <c r="B16" s="3">
        <v>2.1700000000000001E-2</v>
      </c>
      <c r="C16" s="3">
        <v>6.0999999999999999E-2</v>
      </c>
      <c r="D16" s="3">
        <v>1.5449900000000001E-2</v>
      </c>
      <c r="E16" s="3">
        <v>5.3043199999999999E-2</v>
      </c>
      <c r="G16" s="14"/>
      <c r="H16" s="14"/>
      <c r="I16" s="14"/>
      <c r="J16" s="14"/>
      <c r="K16" s="14"/>
      <c r="L16" s="14"/>
    </row>
    <row r="17" spans="1:15" x14ac:dyDescent="0.3">
      <c r="A17" s="1">
        <v>37895</v>
      </c>
      <c r="B17" s="3">
        <v>2.1600000000000001E-2</v>
      </c>
      <c r="C17" s="3">
        <v>5.7999999999999996E-2</v>
      </c>
      <c r="D17" s="3">
        <v>2.8236199999999999E-2</v>
      </c>
      <c r="E17" s="3">
        <v>6.4259399999999994E-2</v>
      </c>
    </row>
    <row r="18" spans="1:15" x14ac:dyDescent="0.3">
      <c r="A18" s="1">
        <v>37987</v>
      </c>
      <c r="B18" s="3">
        <v>1.9199999999999998E-2</v>
      </c>
      <c r="C18" s="3">
        <v>5.7000000000000002E-2</v>
      </c>
      <c r="D18" s="3">
        <v>1.5745100000000001E-2</v>
      </c>
      <c r="E18" s="3">
        <v>6.7058300000000001E-2</v>
      </c>
    </row>
    <row r="19" spans="1:15" x14ac:dyDescent="0.3">
      <c r="A19" s="1">
        <v>38078</v>
      </c>
      <c r="B19" s="3">
        <v>1.7500000000000002E-2</v>
      </c>
      <c r="C19" s="3">
        <v>5.5999999999999994E-2</v>
      </c>
      <c r="D19" s="3">
        <v>2.4434999999999998E-2</v>
      </c>
      <c r="E19" s="3">
        <v>7.0720900000000003E-2</v>
      </c>
    </row>
    <row r="20" spans="1:15" x14ac:dyDescent="0.3">
      <c r="A20" s="1">
        <v>38169</v>
      </c>
      <c r="B20" s="3">
        <v>1.72E-2</v>
      </c>
      <c r="C20" s="3">
        <v>5.4000000000000006E-2</v>
      </c>
      <c r="D20" s="3">
        <v>3.8072300000000003E-2</v>
      </c>
      <c r="E20" s="3">
        <v>6.3859199999999991E-2</v>
      </c>
    </row>
    <row r="21" spans="1:15" x14ac:dyDescent="0.3">
      <c r="A21" s="1">
        <v>38261</v>
      </c>
      <c r="B21" s="3">
        <v>1.67E-2</v>
      </c>
      <c r="C21" s="3">
        <v>5.4000000000000006E-2</v>
      </c>
      <c r="D21" s="3">
        <v>2.1472699999999997E-2</v>
      </c>
      <c r="E21" s="3">
        <v>6.4132300000000003E-2</v>
      </c>
      <c r="G21" s="14"/>
      <c r="H21" s="14"/>
      <c r="I21" s="14"/>
      <c r="J21" s="14"/>
      <c r="K21" s="14"/>
      <c r="L21" s="14"/>
      <c r="M21" s="14"/>
      <c r="N21" s="14"/>
      <c r="O21" s="14"/>
    </row>
    <row r="22" spans="1:15" x14ac:dyDescent="0.3">
      <c r="A22" s="1">
        <v>38353</v>
      </c>
      <c r="B22" s="3">
        <v>1.5900000000000001E-2</v>
      </c>
      <c r="C22" s="3">
        <v>5.2999999999999999E-2</v>
      </c>
      <c r="D22" s="3">
        <v>2.2954599999999999E-2</v>
      </c>
      <c r="E22" s="3">
        <v>7.0771399999999998E-2</v>
      </c>
    </row>
    <row r="23" spans="1:15" x14ac:dyDescent="0.3">
      <c r="A23" s="1">
        <v>38443</v>
      </c>
      <c r="B23" s="3">
        <v>1.4999999999999999E-2</v>
      </c>
      <c r="C23" s="3">
        <v>5.0999999999999997E-2</v>
      </c>
      <c r="D23" s="3">
        <v>3.2069399999999998E-2</v>
      </c>
      <c r="E23" s="3">
        <v>6.6858199999999993E-2</v>
      </c>
    </row>
    <row r="24" spans="1:15" x14ac:dyDescent="0.3">
      <c r="A24" s="1">
        <v>38534</v>
      </c>
      <c r="B24" s="3">
        <v>1.54E-2</v>
      </c>
      <c r="C24" s="3">
        <v>0.05</v>
      </c>
      <c r="D24" s="3">
        <v>3.0288099999999998E-2</v>
      </c>
      <c r="E24" s="3">
        <v>6.8046700000000002E-2</v>
      </c>
    </row>
    <row r="25" spans="1:15" x14ac:dyDescent="0.3">
      <c r="A25" s="1">
        <v>38626</v>
      </c>
      <c r="B25" s="3">
        <v>1.5900000000000001E-2</v>
      </c>
      <c r="C25" s="3">
        <v>0.05</v>
      </c>
      <c r="D25" s="3">
        <v>2.2682999999999998E-2</v>
      </c>
      <c r="E25" s="3">
        <v>6.3620700000000002E-2</v>
      </c>
    </row>
    <row r="26" spans="1:15" x14ac:dyDescent="0.3">
      <c r="A26" s="1">
        <v>38718</v>
      </c>
      <c r="B26" s="3">
        <v>1.5100000000000001E-2</v>
      </c>
      <c r="C26" s="3">
        <v>4.7E-2</v>
      </c>
      <c r="D26" s="3">
        <v>1.58073E-2</v>
      </c>
      <c r="E26" s="3">
        <v>6.5156699999999998E-2</v>
      </c>
    </row>
    <row r="27" spans="1:15" x14ac:dyDescent="0.3">
      <c r="A27" s="1">
        <v>38808</v>
      </c>
      <c r="B27" s="3">
        <v>1.44E-2</v>
      </c>
      <c r="C27" s="3">
        <v>4.5999999999999999E-2</v>
      </c>
      <c r="D27" s="3">
        <v>1.02928E-2</v>
      </c>
      <c r="E27" s="3">
        <v>6.4287700000000003E-2</v>
      </c>
    </row>
    <row r="28" spans="1:15" x14ac:dyDescent="0.3">
      <c r="A28" s="1">
        <v>38899</v>
      </c>
      <c r="B28" s="3">
        <v>1.5700000000000002E-2</v>
      </c>
      <c r="C28" s="3">
        <v>4.5999999999999999E-2</v>
      </c>
      <c r="D28" s="3">
        <v>8.1986999999999997E-3</v>
      </c>
      <c r="E28" s="3">
        <v>5.5357700000000003E-2</v>
      </c>
    </row>
    <row r="29" spans="1:15" x14ac:dyDescent="0.3">
      <c r="A29" s="1">
        <v>38991</v>
      </c>
      <c r="B29" s="3">
        <v>1.7500000000000002E-2</v>
      </c>
      <c r="C29" s="3">
        <v>4.4000000000000004E-2</v>
      </c>
      <c r="D29" s="3">
        <v>1.0265E-2</v>
      </c>
      <c r="E29" s="3">
        <v>5.36885E-2</v>
      </c>
    </row>
    <row r="30" spans="1:15" x14ac:dyDescent="0.3">
      <c r="A30" s="1">
        <v>39083</v>
      </c>
      <c r="B30" s="3">
        <v>1.7500000000000002E-2</v>
      </c>
      <c r="C30" s="3">
        <v>4.4999999999999998E-2</v>
      </c>
      <c r="D30" s="3">
        <v>3.6947999999999998E-3</v>
      </c>
      <c r="E30" s="3">
        <v>4.5332999999999998E-2</v>
      </c>
    </row>
    <row r="31" spans="1:15" x14ac:dyDescent="0.3">
      <c r="A31" s="1">
        <v>39173</v>
      </c>
      <c r="B31" s="3">
        <v>1.7899999999999999E-2</v>
      </c>
      <c r="C31" s="3">
        <v>4.4999999999999998E-2</v>
      </c>
      <c r="D31" s="3">
        <v>-6.311E-4</v>
      </c>
      <c r="E31" s="3">
        <v>4.7163399999999994E-2</v>
      </c>
    </row>
    <row r="32" spans="1:15" x14ac:dyDescent="0.3">
      <c r="A32" s="1">
        <v>39264</v>
      </c>
      <c r="B32" s="3">
        <v>2.12E-2</v>
      </c>
      <c r="C32" s="3">
        <v>4.7E-2</v>
      </c>
      <c r="D32" s="3">
        <v>-1.11822E-2</v>
      </c>
      <c r="E32" s="3">
        <v>5.00303E-2</v>
      </c>
    </row>
    <row r="33" spans="1:5" x14ac:dyDescent="0.3">
      <c r="A33" s="1">
        <v>39356</v>
      </c>
      <c r="B33" s="3">
        <v>2.5600000000000001E-2</v>
      </c>
      <c r="C33" s="3">
        <v>4.8000000000000001E-2</v>
      </c>
      <c r="D33" s="3">
        <v>-3.2728000000000002E-3</v>
      </c>
      <c r="E33" s="3">
        <v>4.8113900000000001E-2</v>
      </c>
    </row>
    <row r="34" spans="1:5" x14ac:dyDescent="0.3">
      <c r="A34" s="1">
        <v>39448</v>
      </c>
      <c r="B34" s="3">
        <v>2.8999999999999998E-2</v>
      </c>
      <c r="C34" s="3">
        <v>0.05</v>
      </c>
      <c r="D34" s="3">
        <v>-7.3680999999999998E-3</v>
      </c>
      <c r="E34" s="3">
        <v>3.4531399999999997E-2</v>
      </c>
    </row>
    <row r="35" spans="1:5" x14ac:dyDescent="0.3">
      <c r="A35" s="1">
        <v>39539</v>
      </c>
      <c r="B35" s="3">
        <v>3.1699999999999999E-2</v>
      </c>
      <c r="C35" s="3">
        <v>5.2999999999999999E-2</v>
      </c>
      <c r="D35" s="3">
        <v>-2.5280399999999998E-2</v>
      </c>
      <c r="E35" s="3">
        <v>3.21911E-2</v>
      </c>
    </row>
    <row r="36" spans="1:5" x14ac:dyDescent="0.3">
      <c r="A36" s="1">
        <v>39630</v>
      </c>
      <c r="B36" s="3">
        <v>3.6699999999999997E-2</v>
      </c>
      <c r="C36" s="3">
        <v>0.06</v>
      </c>
      <c r="D36" s="3">
        <v>-3.14819E-2</v>
      </c>
      <c r="E36" s="3">
        <v>2.2993599999999999E-2</v>
      </c>
    </row>
    <row r="37" spans="1:5" x14ac:dyDescent="0.3">
      <c r="A37" s="1">
        <v>39722</v>
      </c>
      <c r="B37" s="3">
        <v>4.8399999999999999E-2</v>
      </c>
      <c r="C37" s="3">
        <v>6.9000000000000006E-2</v>
      </c>
      <c r="D37" s="3">
        <v>-9.2301999999999992E-3</v>
      </c>
      <c r="E37" s="3">
        <v>-7.2611999999999998E-3</v>
      </c>
    </row>
    <row r="38" spans="1:5" x14ac:dyDescent="0.3">
      <c r="A38" s="1">
        <v>39814</v>
      </c>
      <c r="B38" s="3">
        <v>5.67E-2</v>
      </c>
      <c r="C38" s="3">
        <v>8.3000000000000004E-2</v>
      </c>
      <c r="D38" s="3">
        <v>7.3609999999999995E-3</v>
      </c>
      <c r="E38" s="3">
        <v>-1.8742399999999999E-2</v>
      </c>
    </row>
    <row r="39" spans="1:5" x14ac:dyDescent="0.3">
      <c r="A39" s="1">
        <v>39904</v>
      </c>
      <c r="B39" s="3">
        <v>6.0999999999999999E-2</v>
      </c>
      <c r="C39" s="3">
        <v>9.3000000000000013E-2</v>
      </c>
      <c r="D39" s="3">
        <v>-2.6174599999999999E-2</v>
      </c>
      <c r="E39" s="3">
        <v>-3.2589399999999998E-2</v>
      </c>
    </row>
    <row r="40" spans="1:5" x14ac:dyDescent="0.3">
      <c r="A40" s="1">
        <v>39995</v>
      </c>
      <c r="B40" s="3">
        <v>6.83E-2</v>
      </c>
      <c r="C40" s="3">
        <v>9.6000000000000002E-2</v>
      </c>
      <c r="D40" s="3">
        <v>-2.6086700000000001E-2</v>
      </c>
      <c r="E40" s="3">
        <v>-3.0211199999999997E-2</v>
      </c>
    </row>
    <row r="41" spans="1:5" x14ac:dyDescent="0.3">
      <c r="A41" s="1">
        <v>40087</v>
      </c>
      <c r="B41" s="3">
        <v>7.4400000000000008E-2</v>
      </c>
      <c r="C41" s="3">
        <v>9.9000000000000005E-2</v>
      </c>
      <c r="D41" s="3">
        <v>-7.6444E-3</v>
      </c>
      <c r="E41" s="3">
        <v>2.9463000000000002E-3</v>
      </c>
    </row>
    <row r="42" spans="1:5" x14ac:dyDescent="0.3">
      <c r="A42" s="1">
        <v>40179</v>
      </c>
      <c r="B42" s="3">
        <v>7.4499999999999997E-2</v>
      </c>
      <c r="C42" s="3">
        <v>9.8000000000000004E-2</v>
      </c>
      <c r="D42" s="3">
        <v>-1.19188E-2</v>
      </c>
      <c r="E42" s="3">
        <v>2.3124500000000003E-2</v>
      </c>
    </row>
    <row r="43" spans="1:5" x14ac:dyDescent="0.3">
      <c r="A43" s="1">
        <v>40269</v>
      </c>
      <c r="B43" s="3">
        <v>6.9400000000000003E-2</v>
      </c>
      <c r="C43" s="3">
        <v>9.6000000000000002E-2</v>
      </c>
      <c r="D43" s="3">
        <v>-9.0852999999999993E-3</v>
      </c>
      <c r="E43" s="3">
        <v>4.1648500000000005E-2</v>
      </c>
    </row>
    <row r="44" spans="1:5" x14ac:dyDescent="0.3">
      <c r="A44" s="1">
        <v>40360</v>
      </c>
      <c r="B44" s="3">
        <v>6.8099999999999994E-2</v>
      </c>
      <c r="C44" s="3">
        <v>9.5000000000000001E-2</v>
      </c>
      <c r="D44" s="3">
        <v>9.6641999999999995E-3</v>
      </c>
      <c r="E44" s="3">
        <v>4.7943199999999998E-2</v>
      </c>
    </row>
    <row r="45" spans="1:5" x14ac:dyDescent="0.3">
      <c r="A45" s="1">
        <v>40452</v>
      </c>
      <c r="B45" s="3">
        <v>6.4699999999999994E-2</v>
      </c>
      <c r="C45" s="3">
        <v>9.5000000000000001E-2</v>
      </c>
      <c r="D45" s="3">
        <v>-7.1174000000000003E-3</v>
      </c>
      <c r="E45" s="3">
        <v>4.4926199999999999E-2</v>
      </c>
    </row>
    <row r="46" spans="1:5" x14ac:dyDescent="0.3">
      <c r="A46" s="1">
        <v>40544</v>
      </c>
      <c r="B46" s="3">
        <v>6.2400000000000004E-2</v>
      </c>
      <c r="C46" s="3">
        <v>0.09</v>
      </c>
      <c r="D46" s="3">
        <v>-2.7777799999999998E-2</v>
      </c>
      <c r="E46" s="3">
        <v>3.9746299999999998E-2</v>
      </c>
    </row>
    <row r="47" spans="1:5" x14ac:dyDescent="0.3">
      <c r="A47" s="1">
        <v>40634</v>
      </c>
      <c r="B47" s="3">
        <v>5.7800000000000004E-2</v>
      </c>
      <c r="C47" s="3">
        <v>9.0999999999999998E-2</v>
      </c>
      <c r="D47" s="3">
        <v>-1.7638600000000001E-2</v>
      </c>
      <c r="E47" s="3">
        <v>3.8540600000000001E-2</v>
      </c>
    </row>
    <row r="48" spans="1:5" x14ac:dyDescent="0.3">
      <c r="A48" s="1">
        <v>40725</v>
      </c>
      <c r="B48" s="3">
        <v>5.6399999999999999E-2</v>
      </c>
      <c r="C48" s="3">
        <v>0.09</v>
      </c>
      <c r="D48" s="3">
        <v>7.4409999999999997E-3</v>
      </c>
      <c r="E48" s="3">
        <v>3.34227E-2</v>
      </c>
    </row>
    <row r="49" spans="1:5" x14ac:dyDescent="0.3">
      <c r="A49" s="1">
        <v>40817</v>
      </c>
      <c r="B49" s="3">
        <v>5.5199999999999999E-2</v>
      </c>
      <c r="C49" s="3">
        <v>8.5999999999999993E-2</v>
      </c>
      <c r="D49" s="3">
        <v>4.6243000000000005E-3</v>
      </c>
      <c r="E49" s="3">
        <v>3.4800999999999999E-2</v>
      </c>
    </row>
    <row r="50" spans="1:5" x14ac:dyDescent="0.3">
      <c r="A50" s="1">
        <v>40909</v>
      </c>
      <c r="B50" s="3">
        <v>5.2900000000000003E-2</v>
      </c>
      <c r="C50" s="3">
        <v>8.3000000000000004E-2</v>
      </c>
      <c r="D50" s="3">
        <v>-1.0516600000000001E-2</v>
      </c>
      <c r="E50" s="3">
        <v>4.6728899999999997E-2</v>
      </c>
    </row>
    <row r="51" spans="1:5" x14ac:dyDescent="0.3">
      <c r="A51" s="1">
        <v>41000</v>
      </c>
      <c r="B51" s="3">
        <v>4.9800000000000004E-2</v>
      </c>
      <c r="C51" s="3">
        <v>8.199999999999999E-2</v>
      </c>
      <c r="D51" s="3">
        <v>-4.555E-3</v>
      </c>
      <c r="E51" s="3">
        <v>4.1753099999999994E-2</v>
      </c>
    </row>
    <row r="52" spans="1:5" x14ac:dyDescent="0.3">
      <c r="A52" s="1">
        <v>41091</v>
      </c>
      <c r="B52" s="3">
        <v>4.9800000000000004E-2</v>
      </c>
      <c r="C52" s="3">
        <v>0.08</v>
      </c>
      <c r="D52" s="3">
        <v>1.3273200000000001E-2</v>
      </c>
      <c r="E52" s="3">
        <v>4.2936800000000004E-2</v>
      </c>
    </row>
    <row r="53" spans="1:5" x14ac:dyDescent="0.3">
      <c r="A53" s="1">
        <v>41183</v>
      </c>
      <c r="B53" s="3">
        <v>4.6900000000000004E-2</v>
      </c>
      <c r="C53" s="3">
        <v>7.8E-2</v>
      </c>
      <c r="D53" s="3">
        <v>7.8788E-3</v>
      </c>
      <c r="E53" s="3">
        <v>3.6494800000000001E-2</v>
      </c>
    </row>
    <row r="54" spans="1:5" x14ac:dyDescent="0.3">
      <c r="A54" s="1">
        <v>41275</v>
      </c>
      <c r="B54" s="3">
        <v>4.41E-2</v>
      </c>
      <c r="C54" s="3">
        <v>7.6999999999999999E-2</v>
      </c>
      <c r="D54" s="3">
        <v>4.9255000000000002E-3</v>
      </c>
      <c r="E54" s="3">
        <v>3.6056400000000002E-2</v>
      </c>
    </row>
    <row r="55" spans="1:5" x14ac:dyDescent="0.3">
      <c r="A55" s="1">
        <v>41365</v>
      </c>
      <c r="B55" s="3">
        <v>4.0300000000000002E-2</v>
      </c>
      <c r="C55" s="3">
        <v>7.4999999999999997E-2</v>
      </c>
      <c r="D55" s="3">
        <v>1.5241599999999999E-2</v>
      </c>
      <c r="E55" s="3">
        <v>3.2181700000000001E-2</v>
      </c>
    </row>
    <row r="56" spans="1:5" x14ac:dyDescent="0.3">
      <c r="A56" s="1">
        <v>41456</v>
      </c>
      <c r="B56" s="3">
        <v>3.73E-2</v>
      </c>
      <c r="C56" s="3">
        <v>7.2000000000000008E-2</v>
      </c>
      <c r="D56" s="3">
        <v>1.4109499999999999E-2</v>
      </c>
      <c r="E56" s="3">
        <v>3.88673E-2</v>
      </c>
    </row>
    <row r="57" spans="1:5" x14ac:dyDescent="0.3">
      <c r="A57" s="1">
        <v>41548</v>
      </c>
      <c r="B57" s="3">
        <v>3.5400000000000001E-2</v>
      </c>
      <c r="C57" s="3">
        <v>6.9000000000000006E-2</v>
      </c>
      <c r="D57" s="3">
        <v>7.9240999999999999E-3</v>
      </c>
      <c r="E57" s="3">
        <v>4.6990299999999999E-2</v>
      </c>
    </row>
    <row r="58" spans="1:5" x14ac:dyDescent="0.3">
      <c r="A58" s="1">
        <v>41640</v>
      </c>
      <c r="B58" s="3">
        <v>3.3000000000000002E-2</v>
      </c>
      <c r="C58" s="3">
        <v>6.7000000000000004E-2</v>
      </c>
      <c r="D58" s="3">
        <v>8.1359999999999991E-3</v>
      </c>
      <c r="E58" s="3">
        <v>3.3009499999999997E-2</v>
      </c>
    </row>
    <row r="59" spans="1:5" x14ac:dyDescent="0.3">
      <c r="A59" s="1">
        <v>41730</v>
      </c>
      <c r="B59" s="3">
        <v>0.03</v>
      </c>
      <c r="C59" s="3">
        <v>6.2E-2</v>
      </c>
      <c r="D59" s="3">
        <v>1.9405200000000001E-2</v>
      </c>
      <c r="E59" s="3">
        <v>4.7213599999999994E-2</v>
      </c>
    </row>
    <row r="60" spans="1:5" x14ac:dyDescent="0.3">
      <c r="A60" s="1">
        <v>41821</v>
      </c>
      <c r="B60" s="3">
        <v>2.86E-2</v>
      </c>
      <c r="C60" s="3">
        <v>6.0999999999999999E-2</v>
      </c>
      <c r="D60" s="3">
        <v>1.43509E-2</v>
      </c>
      <c r="E60" s="3">
        <v>5.0159099999999998E-2</v>
      </c>
    </row>
    <row r="61" spans="1:5" x14ac:dyDescent="0.3">
      <c r="A61" s="1">
        <v>41913</v>
      </c>
      <c r="B61" s="3">
        <v>2.7300000000000001E-2</v>
      </c>
      <c r="C61" s="3">
        <v>5.7000000000000002E-2</v>
      </c>
      <c r="D61" s="3">
        <v>8.1262999999999995E-3</v>
      </c>
      <c r="E61" s="3">
        <v>4.1883400000000001E-2</v>
      </c>
    </row>
    <row r="62" spans="1:5" x14ac:dyDescent="0.3">
      <c r="A62" s="1">
        <v>42005</v>
      </c>
      <c r="B62" s="3">
        <v>2.4900000000000002E-2</v>
      </c>
      <c r="C62" s="3">
        <v>5.5E-2</v>
      </c>
      <c r="D62" s="3">
        <v>1.1047299999999999E-2</v>
      </c>
      <c r="E62" s="3">
        <v>5.0343300000000001E-2</v>
      </c>
    </row>
    <row r="63" spans="1:5" x14ac:dyDescent="0.3">
      <c r="A63" s="1">
        <v>42095</v>
      </c>
      <c r="B63" s="3">
        <v>2.3199999999999998E-2</v>
      </c>
      <c r="C63" s="3">
        <v>5.4000000000000006E-2</v>
      </c>
      <c r="D63" s="3">
        <v>1.61461E-2</v>
      </c>
      <c r="E63" s="3">
        <v>4.3455500000000001E-2</v>
      </c>
    </row>
    <row r="64" spans="1:5" x14ac:dyDescent="0.3">
      <c r="A64" s="1">
        <v>42186</v>
      </c>
      <c r="B64" s="3">
        <v>2.2400000000000003E-2</v>
      </c>
      <c r="C64" s="3">
        <v>5.0999999999999997E-2</v>
      </c>
      <c r="D64" s="3">
        <v>1.4139800000000001E-2</v>
      </c>
      <c r="E64" s="3">
        <v>3.3553699999999999E-2</v>
      </c>
    </row>
    <row r="65" spans="1:5" x14ac:dyDescent="0.3">
      <c r="A65" s="1">
        <v>42278</v>
      </c>
      <c r="B65" s="3">
        <v>2.2200000000000001E-2</v>
      </c>
      <c r="C65" s="3">
        <v>0.05</v>
      </c>
      <c r="D65" s="3">
        <v>7.9871000000000004E-3</v>
      </c>
      <c r="E65" s="3">
        <v>2.9201399999999999E-2</v>
      </c>
    </row>
    <row r="66" spans="1:5" x14ac:dyDescent="0.3">
      <c r="A66" s="1">
        <v>42370</v>
      </c>
      <c r="B66" s="3">
        <v>2.1700000000000001E-2</v>
      </c>
      <c r="C66" s="3">
        <v>4.9000000000000002E-2</v>
      </c>
      <c r="D66" s="3">
        <v>9.2213999999999994E-3</v>
      </c>
      <c r="E66" s="3">
        <v>2.5598800000000001E-2</v>
      </c>
    </row>
    <row r="67" spans="1:5" x14ac:dyDescent="0.3">
      <c r="A67" s="1">
        <v>42461</v>
      </c>
      <c r="B67" s="3">
        <v>2.07E-2</v>
      </c>
      <c r="C67" s="3">
        <v>4.9000000000000002E-2</v>
      </c>
      <c r="D67" s="3">
        <v>1.8630000000000001E-2</v>
      </c>
      <c r="E67" s="3">
        <v>2.3628200000000002E-2</v>
      </c>
    </row>
    <row r="68" spans="1:5" x14ac:dyDescent="0.3">
      <c r="A68" s="1">
        <v>42552</v>
      </c>
      <c r="B68" s="3">
        <v>2.0400000000000001E-2</v>
      </c>
      <c r="C68" s="3">
        <v>4.9000000000000002E-2</v>
      </c>
      <c r="D68" s="3">
        <v>1.78864E-2</v>
      </c>
      <c r="E68" s="3">
        <v>2.6683100000000001E-2</v>
      </c>
    </row>
    <row r="69" spans="1:5" x14ac:dyDescent="0.3">
      <c r="A69" s="1">
        <v>42644</v>
      </c>
      <c r="B69" s="3">
        <v>2.06E-2</v>
      </c>
      <c r="C69" s="3">
        <v>4.8000000000000001E-2</v>
      </c>
      <c r="D69" s="3">
        <v>7.6778999999999997E-3</v>
      </c>
      <c r="E69" s="3">
        <v>3.5488900000000004E-2</v>
      </c>
    </row>
    <row r="70" spans="1:5" x14ac:dyDescent="0.3">
      <c r="A70" s="1">
        <v>42736</v>
      </c>
      <c r="B70" s="3">
        <v>1.9299999999999998E-2</v>
      </c>
      <c r="C70" s="3">
        <v>4.5999999999999999E-2</v>
      </c>
      <c r="D70" s="3">
        <v>7.0172000000000003E-3</v>
      </c>
      <c r="E70" s="3">
        <v>4.0707899999999998E-2</v>
      </c>
    </row>
    <row r="71" spans="1:5" x14ac:dyDescent="0.3">
      <c r="A71" s="1">
        <v>42826</v>
      </c>
      <c r="B71" s="3">
        <v>1.78E-2</v>
      </c>
      <c r="C71" s="3">
        <v>4.4000000000000004E-2</v>
      </c>
      <c r="D71" s="3">
        <v>2.2334900000000001E-2</v>
      </c>
      <c r="E71" s="3">
        <v>3.8849500000000002E-2</v>
      </c>
    </row>
    <row r="72" spans="1:5" x14ac:dyDescent="0.3">
      <c r="A72" s="1">
        <v>42917</v>
      </c>
      <c r="B72" s="3">
        <v>1.8000000000000002E-2</v>
      </c>
      <c r="C72" s="3">
        <v>4.2999999999999997E-2</v>
      </c>
      <c r="D72" s="3">
        <v>1.5387E-2</v>
      </c>
      <c r="E72" s="3">
        <v>4.2342199999999997E-2</v>
      </c>
    </row>
    <row r="73" spans="1:5" x14ac:dyDescent="0.3">
      <c r="A73" s="1">
        <v>43009</v>
      </c>
      <c r="B73" s="3">
        <v>1.8100000000000002E-2</v>
      </c>
      <c r="C73" s="3">
        <v>4.2000000000000003E-2</v>
      </c>
      <c r="D73" s="3">
        <v>8.2908000000000009E-3</v>
      </c>
      <c r="E73" s="3">
        <v>4.96459E-2</v>
      </c>
    </row>
    <row r="74" spans="1:5" x14ac:dyDescent="0.3">
      <c r="A74" s="1">
        <v>43101</v>
      </c>
      <c r="B74" s="3">
        <v>1.7100000000000001E-2</v>
      </c>
      <c r="C74" s="3">
        <v>0.04</v>
      </c>
      <c r="D74" s="3">
        <v>1.39858E-2</v>
      </c>
      <c r="E74" s="3">
        <v>5.4380899999999996E-2</v>
      </c>
    </row>
    <row r="75" spans="1:5" x14ac:dyDescent="0.3">
      <c r="A75" s="1">
        <v>43191</v>
      </c>
      <c r="B75" s="3">
        <v>1.5900000000000001E-2</v>
      </c>
      <c r="C75" s="3">
        <v>3.9E-2</v>
      </c>
      <c r="D75" s="3">
        <v>1.83497E-2</v>
      </c>
      <c r="E75" s="3">
        <v>5.8762800000000004E-2</v>
      </c>
    </row>
    <row r="76" spans="1:5" x14ac:dyDescent="0.3">
      <c r="A76" s="1">
        <v>43282</v>
      </c>
      <c r="B76" s="3">
        <v>1.5700000000000002E-2</v>
      </c>
      <c r="C76" s="3">
        <v>3.7999999999999999E-2</v>
      </c>
      <c r="D76" s="3">
        <v>1.2221200000000002E-2</v>
      </c>
      <c r="E76" s="3">
        <v>5.6170099999999994E-2</v>
      </c>
    </row>
    <row r="77" spans="1:5" x14ac:dyDescent="0.3">
      <c r="A77" s="1">
        <v>43374</v>
      </c>
      <c r="B77" s="3">
        <v>1.55E-2</v>
      </c>
      <c r="C77" s="3">
        <v>3.7999999999999999E-2</v>
      </c>
      <c r="D77" s="3">
        <v>3.3511999999999999E-3</v>
      </c>
      <c r="E77" s="3">
        <v>4.3957400000000001E-2</v>
      </c>
    </row>
    <row r="78" spans="1:5" x14ac:dyDescent="0.3">
      <c r="A78" s="1">
        <v>43466</v>
      </c>
      <c r="B78" s="3">
        <v>1.5300000000000001E-2</v>
      </c>
      <c r="C78" s="3">
        <v>3.9E-2</v>
      </c>
      <c r="D78" s="3">
        <v>1.1228E-2</v>
      </c>
      <c r="E78" s="3">
        <v>3.8519600000000001E-2</v>
      </c>
    </row>
    <row r="79" spans="1:5" x14ac:dyDescent="0.3">
      <c r="A79" s="1">
        <v>43556</v>
      </c>
      <c r="B79" s="3">
        <v>1.44E-2</v>
      </c>
      <c r="C79" s="3">
        <v>3.6000000000000004E-2</v>
      </c>
      <c r="D79" s="3">
        <v>1.6772100000000002E-2</v>
      </c>
      <c r="E79" s="3">
        <v>3.9698199999999996E-2</v>
      </c>
    </row>
    <row r="80" spans="1:5" x14ac:dyDescent="0.3">
      <c r="A80" s="1">
        <v>43647</v>
      </c>
      <c r="B80" s="3">
        <v>1.44E-2</v>
      </c>
      <c r="C80" s="3">
        <v>3.6000000000000004E-2</v>
      </c>
      <c r="D80" s="3">
        <v>1.27402E-2</v>
      </c>
      <c r="E80" s="3">
        <v>4.4158499999999996E-2</v>
      </c>
    </row>
    <row r="81" spans="1:5" x14ac:dyDescent="0.3">
      <c r="A81" s="1">
        <v>43739</v>
      </c>
      <c r="B81" s="3">
        <v>1.4499999999999999E-2</v>
      </c>
      <c r="C81" s="3">
        <v>3.6000000000000004E-2</v>
      </c>
      <c r="D81" s="3">
        <v>8.8719000000000003E-3</v>
      </c>
      <c r="E81" s="3">
        <v>4.8539800000000001E-2</v>
      </c>
    </row>
    <row r="82" spans="1:5" x14ac:dyDescent="0.3">
      <c r="A82" s="1">
        <v>43831</v>
      </c>
      <c r="B82" s="3">
        <v>1.4999999999999999E-2</v>
      </c>
      <c r="C82" s="3">
        <v>3.7999999999999999E-2</v>
      </c>
      <c r="D82" s="3">
        <v>1.16124E-2</v>
      </c>
      <c r="E82" s="3">
        <v>3.0297900000000003E-2</v>
      </c>
    </row>
    <row r="83" spans="1:5" x14ac:dyDescent="0.3">
      <c r="A83" s="1">
        <v>43922</v>
      </c>
      <c r="B83" s="3">
        <v>1.4800000000000001E-2</v>
      </c>
      <c r="C83" s="3">
        <v>0.13</v>
      </c>
      <c r="D83" s="3">
        <v>1.0097199999999999E-2</v>
      </c>
      <c r="E83" s="3">
        <v>-6.7279699999999998E-2</v>
      </c>
    </row>
    <row r="84" spans="1:5" x14ac:dyDescent="0.3">
      <c r="A84" s="1">
        <v>44013</v>
      </c>
      <c r="B84" s="3">
        <v>1.5700000000000002E-2</v>
      </c>
      <c r="C84" s="3">
        <v>8.8000000000000009E-2</v>
      </c>
      <c r="D84" s="3">
        <v>1.76755E-2</v>
      </c>
      <c r="E84" s="3">
        <v>-5.8639999999999994E-4</v>
      </c>
    </row>
    <row r="85" spans="1:5" x14ac:dyDescent="0.3">
      <c r="A85" s="1">
        <v>44105</v>
      </c>
      <c r="B85" s="3">
        <v>1.6200000000000003E-2</v>
      </c>
      <c r="C85" s="3">
        <v>6.8000000000000005E-2</v>
      </c>
      <c r="D85" s="3">
        <v>2.1900300000000001E-2</v>
      </c>
      <c r="E85" s="3">
        <v>7.0187000000000001E-3</v>
      </c>
    </row>
    <row r="86" spans="1:5" x14ac:dyDescent="0.3">
      <c r="A86" s="1">
        <v>44197</v>
      </c>
      <c r="B86" s="3">
        <v>1.47E-2</v>
      </c>
      <c r="C86" s="3">
        <v>6.2E-2</v>
      </c>
      <c r="D86" s="3">
        <v>2.4231900000000001E-2</v>
      </c>
      <c r="E86" s="3">
        <v>4.3832500000000003E-2</v>
      </c>
    </row>
    <row r="87" spans="1:5" x14ac:dyDescent="0.3">
      <c r="A87" s="1">
        <v>44287</v>
      </c>
      <c r="B87" s="3">
        <v>1.3100000000000001E-2</v>
      </c>
      <c r="C87" s="3">
        <v>5.9000000000000004E-2</v>
      </c>
      <c r="D87" s="3">
        <v>5.5521000000000001E-2</v>
      </c>
      <c r="E87" s="3">
        <v>0.17528639999999998</v>
      </c>
    </row>
    <row r="88" spans="1:5" x14ac:dyDescent="0.3">
      <c r="A88" s="1">
        <v>44378</v>
      </c>
      <c r="B88" s="3">
        <v>1.2699999999999999E-2</v>
      </c>
      <c r="C88" s="3">
        <v>5.0999999999999997E-2</v>
      </c>
      <c r="D88" s="3">
        <v>5.56035E-2</v>
      </c>
      <c r="E88" s="3">
        <v>0.1057114</v>
      </c>
    </row>
    <row r="89" spans="1:5" x14ac:dyDescent="0.3">
      <c r="A89" s="1">
        <v>44470</v>
      </c>
      <c r="B89" s="3">
        <v>1.3000000000000001E-2</v>
      </c>
      <c r="C89" s="3">
        <v>4.2000000000000003E-2</v>
      </c>
      <c r="D89" s="3">
        <v>3.4081399999999998E-2</v>
      </c>
      <c r="E89" s="3">
        <v>0.1238742</v>
      </c>
    </row>
    <row r="90" spans="1:5" x14ac:dyDescent="0.3">
      <c r="A90" s="1">
        <v>44562</v>
      </c>
      <c r="B90" s="3">
        <v>1.24E-2</v>
      </c>
      <c r="C90" s="3">
        <v>3.9E-2</v>
      </c>
      <c r="D90" s="3">
        <v>3.6374400000000001E-2</v>
      </c>
      <c r="E90" s="3">
        <v>0.1125471</v>
      </c>
    </row>
    <row r="91" spans="1:5" x14ac:dyDescent="0.3">
      <c r="A91" s="1">
        <v>44652</v>
      </c>
      <c r="B91" s="3">
        <v>1.18E-2</v>
      </c>
      <c r="C91" s="3">
        <v>3.6000000000000004E-2</v>
      </c>
      <c r="D91" s="3">
        <v>6.4314099999999999E-2</v>
      </c>
      <c r="E91" s="3">
        <v>0.10285519999999999</v>
      </c>
    </row>
    <row r="92" spans="1:5" x14ac:dyDescent="0.3">
      <c r="A92" s="1">
        <v>44743</v>
      </c>
      <c r="B92" s="3">
        <v>1.18E-2</v>
      </c>
      <c r="C92" s="3">
        <v>3.5000000000000003E-2</v>
      </c>
      <c r="D92" s="3">
        <v>1.5322899999999999E-2</v>
      </c>
      <c r="E92" s="3">
        <v>9.7360100000000005E-2</v>
      </c>
    </row>
    <row r="93" spans="1:5" x14ac:dyDescent="0.3">
      <c r="A93" s="1">
        <v>44835</v>
      </c>
      <c r="B93" s="3">
        <v>1.23E-2</v>
      </c>
      <c r="C93" s="3">
        <v>3.6000000000000004E-2</v>
      </c>
      <c r="D93" s="3">
        <v>-1.07729E-2</v>
      </c>
      <c r="E93" s="3">
        <v>7.8592899999999993E-2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113EE-723C-4231-8446-1CAECB1994B3}">
  <sheetPr codeName="Sheet5"/>
  <dimension ref="A1:B61"/>
  <sheetViews>
    <sheetView workbookViewId="0">
      <selection activeCell="D4" sqref="D4"/>
    </sheetView>
  </sheetViews>
  <sheetFormatPr defaultRowHeight="14.4" x14ac:dyDescent="0.3"/>
  <cols>
    <col min="1" max="1" width="15.88671875" bestFit="1" customWidth="1"/>
    <col min="2" max="2" width="12" bestFit="1" customWidth="1"/>
  </cols>
  <sheetData>
    <row r="1" spans="1:2" x14ac:dyDescent="0.3">
      <c r="A1" s="10" t="s">
        <v>1554</v>
      </c>
      <c r="B1" s="10" t="s">
        <v>1557</v>
      </c>
    </row>
    <row r="2" spans="1:2" x14ac:dyDescent="0.3">
      <c r="A2" s="15" t="s">
        <v>1558</v>
      </c>
      <c r="B2" s="3">
        <v>1.3333333333333333E-3</v>
      </c>
    </row>
    <row r="3" spans="1:2" x14ac:dyDescent="0.3">
      <c r="A3" s="15" t="s">
        <v>1559</v>
      </c>
      <c r="B3" s="3">
        <v>1.9333333333333336E-3</v>
      </c>
    </row>
    <row r="4" spans="1:2" x14ac:dyDescent="0.3">
      <c r="A4" s="15" t="s">
        <v>1560</v>
      </c>
      <c r="B4" s="3">
        <v>1.8666666666666666E-3</v>
      </c>
    </row>
    <row r="5" spans="1:2" x14ac:dyDescent="0.3">
      <c r="A5" s="15" t="s">
        <v>1561</v>
      </c>
      <c r="B5" s="3">
        <v>1.8666666666666666E-3</v>
      </c>
    </row>
    <row r="6" spans="1:2" x14ac:dyDescent="0.3">
      <c r="A6" s="15" t="s">
        <v>1562</v>
      </c>
      <c r="B6" s="3">
        <v>1.5666666666666667E-3</v>
      </c>
    </row>
    <row r="7" spans="1:2" x14ac:dyDescent="0.3">
      <c r="A7" s="15" t="s">
        <v>1563</v>
      </c>
      <c r="B7" s="3">
        <v>9.3333333333333332E-4</v>
      </c>
    </row>
    <row r="8" spans="1:2" x14ac:dyDescent="0.3">
      <c r="A8" s="15" t="s">
        <v>1564</v>
      </c>
      <c r="B8" s="3">
        <v>8.3333333333333328E-4</v>
      </c>
    </row>
    <row r="9" spans="1:2" x14ac:dyDescent="0.3">
      <c r="A9" s="15" t="s">
        <v>1565</v>
      </c>
      <c r="B9" s="3">
        <v>7.3333333333333345E-4</v>
      </c>
    </row>
    <row r="10" spans="1:2" x14ac:dyDescent="0.3">
      <c r="A10" s="15" t="s">
        <v>1566</v>
      </c>
      <c r="B10" s="3">
        <v>1.0333333333333334E-3</v>
      </c>
    </row>
    <row r="11" spans="1:2" x14ac:dyDescent="0.3">
      <c r="A11" s="15" t="s">
        <v>1567</v>
      </c>
      <c r="B11" s="3">
        <v>1.5333333333333336E-3</v>
      </c>
    </row>
    <row r="12" spans="1:2" x14ac:dyDescent="0.3">
      <c r="A12" s="15" t="s">
        <v>1568</v>
      </c>
      <c r="B12" s="3">
        <v>1.4333333333333333E-3</v>
      </c>
    </row>
    <row r="13" spans="1:2" x14ac:dyDescent="0.3">
      <c r="A13" s="15" t="s">
        <v>1569</v>
      </c>
      <c r="B13" s="3">
        <v>1.6000000000000001E-3</v>
      </c>
    </row>
    <row r="14" spans="1:2" x14ac:dyDescent="0.3">
      <c r="A14" s="15" t="s">
        <v>1570</v>
      </c>
      <c r="B14" s="3">
        <v>1.4333333333333333E-3</v>
      </c>
    </row>
    <row r="15" spans="1:2" x14ac:dyDescent="0.3">
      <c r="A15" s="15" t="s">
        <v>1571</v>
      </c>
      <c r="B15" s="3">
        <v>1.1666666666666665E-3</v>
      </c>
    </row>
    <row r="16" spans="1:2" x14ac:dyDescent="0.3">
      <c r="A16" s="15" t="s">
        <v>1572</v>
      </c>
      <c r="B16" s="3">
        <v>8.3333333333333328E-4</v>
      </c>
    </row>
    <row r="17" spans="1:2" x14ac:dyDescent="0.3">
      <c r="A17" s="15" t="s">
        <v>1573</v>
      </c>
      <c r="B17" s="3">
        <v>8.6666666666666674E-4</v>
      </c>
    </row>
    <row r="18" spans="1:2" x14ac:dyDescent="0.3">
      <c r="A18" s="15" t="s">
        <v>1574</v>
      </c>
      <c r="B18" s="3">
        <v>7.3333333333333345E-4</v>
      </c>
    </row>
    <row r="19" spans="1:2" x14ac:dyDescent="0.3">
      <c r="A19" s="15" t="s">
        <v>1575</v>
      </c>
      <c r="B19" s="3">
        <v>9.3333333333333332E-4</v>
      </c>
    </row>
    <row r="20" spans="1:2" x14ac:dyDescent="0.3">
      <c r="A20" s="15" t="s">
        <v>1576</v>
      </c>
      <c r="B20" s="3">
        <v>9.0000000000000008E-4</v>
      </c>
    </row>
    <row r="21" spans="1:2" x14ac:dyDescent="0.3">
      <c r="A21" s="15" t="s">
        <v>1577</v>
      </c>
      <c r="B21" s="3">
        <v>1E-3</v>
      </c>
    </row>
    <row r="22" spans="1:2" x14ac:dyDescent="0.3">
      <c r="A22" s="15" t="s">
        <v>1578</v>
      </c>
      <c r="B22" s="3">
        <v>1.1000000000000001E-3</v>
      </c>
    </row>
    <row r="23" spans="1:2" x14ac:dyDescent="0.3">
      <c r="A23" s="15" t="s">
        <v>1579</v>
      </c>
      <c r="B23" s="3">
        <v>1.2333333333333335E-3</v>
      </c>
    </row>
    <row r="24" spans="1:2" x14ac:dyDescent="0.3">
      <c r="A24" s="15" t="s">
        <v>1580</v>
      </c>
      <c r="B24" s="3">
        <v>1.3666666666666669E-3</v>
      </c>
    </row>
    <row r="25" spans="1:2" x14ac:dyDescent="0.3">
      <c r="A25" s="15" t="s">
        <v>1581</v>
      </c>
      <c r="B25" s="3">
        <v>1.6000000000000001E-3</v>
      </c>
    </row>
    <row r="26" spans="1:2" x14ac:dyDescent="0.3">
      <c r="A26" s="15" t="s">
        <v>1582</v>
      </c>
      <c r="B26" s="3">
        <v>3.6000000000000003E-3</v>
      </c>
    </row>
    <row r="27" spans="1:2" x14ac:dyDescent="0.3">
      <c r="A27" s="15" t="s">
        <v>1583</v>
      </c>
      <c r="B27" s="3">
        <v>3.7333333333333333E-3</v>
      </c>
    </row>
    <row r="28" spans="1:2" x14ac:dyDescent="0.3">
      <c r="A28" s="15" t="s">
        <v>1584</v>
      </c>
      <c r="B28" s="3">
        <v>3.966666666666667E-3</v>
      </c>
    </row>
    <row r="29" spans="1:2" x14ac:dyDescent="0.3">
      <c r="A29" s="15" t="s">
        <v>1585</v>
      </c>
      <c r="B29" s="3">
        <v>4.5000000000000005E-3</v>
      </c>
    </row>
    <row r="30" spans="1:2" x14ac:dyDescent="0.3">
      <c r="A30" s="15" t="s">
        <v>1586</v>
      </c>
      <c r="B30" s="3">
        <v>7.000000000000001E-3</v>
      </c>
    </row>
    <row r="31" spans="1:2" x14ac:dyDescent="0.3">
      <c r="A31" s="15" t="s">
        <v>1587</v>
      </c>
      <c r="B31" s="3">
        <v>9.5000000000000015E-3</v>
      </c>
    </row>
    <row r="32" spans="1:2" x14ac:dyDescent="0.3">
      <c r="A32" s="15" t="s">
        <v>1588</v>
      </c>
      <c r="B32" s="3">
        <v>1.1533333333333331E-2</v>
      </c>
    </row>
    <row r="33" spans="1:2" x14ac:dyDescent="0.3">
      <c r="A33" s="15" t="s">
        <v>1589</v>
      </c>
      <c r="B33" s="3">
        <v>1.2033333333333332E-2</v>
      </c>
    </row>
    <row r="34" spans="1:2" x14ac:dyDescent="0.3">
      <c r="A34" s="15" t="s">
        <v>1590</v>
      </c>
      <c r="B34" s="3">
        <v>1.4466666666666666E-2</v>
      </c>
    </row>
    <row r="35" spans="1:2" x14ac:dyDescent="0.3">
      <c r="A35" s="15" t="s">
        <v>1591</v>
      </c>
      <c r="B35" s="3">
        <v>1.7366666666666666E-2</v>
      </c>
    </row>
    <row r="36" spans="1:2" x14ac:dyDescent="0.3">
      <c r="A36" s="15" t="s">
        <v>1592</v>
      </c>
      <c r="B36" s="3">
        <v>1.9233333333333331E-2</v>
      </c>
    </row>
    <row r="37" spans="1:2" x14ac:dyDescent="0.3">
      <c r="A37" s="15" t="s">
        <v>1593</v>
      </c>
      <c r="B37" s="3">
        <v>2.2200000000000001E-2</v>
      </c>
    </row>
    <row r="38" spans="1:2" x14ac:dyDescent="0.3">
      <c r="A38" s="15" t="s">
        <v>1594</v>
      </c>
      <c r="B38" s="3">
        <v>2.4033333333333334E-2</v>
      </c>
    </row>
    <row r="39" spans="1:2" x14ac:dyDescent="0.3">
      <c r="A39" s="15" t="s">
        <v>1595</v>
      </c>
      <c r="B39" s="3">
        <v>2.3966666666666671E-2</v>
      </c>
    </row>
    <row r="40" spans="1:2" x14ac:dyDescent="0.3">
      <c r="A40" s="15" t="s">
        <v>1596</v>
      </c>
      <c r="B40" s="3">
        <v>2.1899999999999999E-2</v>
      </c>
    </row>
    <row r="41" spans="1:2" x14ac:dyDescent="0.3">
      <c r="A41" s="15" t="s">
        <v>1597</v>
      </c>
      <c r="B41" s="3">
        <v>1.6433333333333335E-2</v>
      </c>
    </row>
    <row r="42" spans="1:2" x14ac:dyDescent="0.3">
      <c r="A42" s="15" t="s">
        <v>1598</v>
      </c>
      <c r="B42" s="3">
        <v>1.26E-2</v>
      </c>
    </row>
    <row r="43" spans="1:2" x14ac:dyDescent="0.3">
      <c r="A43" s="15" t="s">
        <v>1599</v>
      </c>
      <c r="B43" s="3">
        <v>5.9999999999999995E-4</v>
      </c>
    </row>
    <row r="44" spans="1:2" x14ac:dyDescent="0.3">
      <c r="A44" s="15" t="s">
        <v>1600</v>
      </c>
      <c r="B44" s="3">
        <v>9.3333333333333332E-4</v>
      </c>
    </row>
    <row r="45" spans="1:2" x14ac:dyDescent="0.3">
      <c r="A45" s="15" t="s">
        <v>1601</v>
      </c>
      <c r="B45" s="3">
        <v>9.0000000000000008E-4</v>
      </c>
    </row>
    <row r="46" spans="1:2" x14ac:dyDescent="0.3">
      <c r="A46" s="15" t="s">
        <v>1602</v>
      </c>
      <c r="B46" s="3">
        <v>8.0000000000000004E-4</v>
      </c>
    </row>
    <row r="47" spans="1:2" x14ac:dyDescent="0.3">
      <c r="A47" s="15" t="s">
        <v>1603</v>
      </c>
      <c r="B47" s="3">
        <v>7.000000000000001E-4</v>
      </c>
    </row>
    <row r="48" spans="1:2" x14ac:dyDescent="0.3">
      <c r="A48" s="15" t="s">
        <v>1604</v>
      </c>
      <c r="B48" s="3">
        <v>9.0000000000000008E-4</v>
      </c>
    </row>
    <row r="49" spans="1:2" x14ac:dyDescent="0.3">
      <c r="A49" s="15" t="s">
        <v>1605</v>
      </c>
      <c r="B49" s="3">
        <v>8.0000000000000004E-4</v>
      </c>
    </row>
    <row r="50" spans="1:2" x14ac:dyDescent="0.3">
      <c r="A50" s="15" t="s">
        <v>1606</v>
      </c>
      <c r="B50" s="3">
        <v>1.1999999999999999E-3</v>
      </c>
    </row>
    <row r="51" spans="1:2" x14ac:dyDescent="0.3">
      <c r="A51" s="15" t="s">
        <v>1607</v>
      </c>
      <c r="B51" s="3">
        <v>7.7000000000000002E-3</v>
      </c>
    </row>
    <row r="52" spans="1:2" x14ac:dyDescent="0.3">
      <c r="A52" s="15" t="s">
        <v>1608</v>
      </c>
      <c r="B52" s="3">
        <v>2.1899999999999999E-2</v>
      </c>
    </row>
    <row r="53" spans="1:2" x14ac:dyDescent="0.3">
      <c r="A53" s="15" t="s">
        <v>1609</v>
      </c>
      <c r="B53" s="3">
        <v>3.6533333333333327E-2</v>
      </c>
    </row>
    <row r="54" spans="1:2" x14ac:dyDescent="0.3">
      <c r="A54" s="15" t="s">
        <v>1610</v>
      </c>
      <c r="B54" s="3">
        <v>4.5166666666666667E-2</v>
      </c>
    </row>
    <row r="55" spans="1:2" x14ac:dyDescent="0.3">
      <c r="A55" s="15"/>
    </row>
    <row r="56" spans="1:2" x14ac:dyDescent="0.3">
      <c r="A56" s="15"/>
    </row>
    <row r="57" spans="1:2" x14ac:dyDescent="0.3">
      <c r="A57" s="15"/>
    </row>
    <row r="58" spans="1:2" x14ac:dyDescent="0.3">
      <c r="A58" s="15"/>
    </row>
    <row r="59" spans="1:2" x14ac:dyDescent="0.3">
      <c r="A59" s="15"/>
    </row>
    <row r="60" spans="1:2" x14ac:dyDescent="0.3">
      <c r="A60" s="15"/>
    </row>
    <row r="61" spans="1:2" x14ac:dyDescent="0.3">
      <c r="A61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Macroeconomic variable</vt:lpstr>
      <vt:lpstr>FEDFUNDS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Arsh Sadh</dc:creator>
  <cp:lastModifiedBy>arsh sadh</cp:lastModifiedBy>
  <dcterms:created xsi:type="dcterms:W3CDTF">2026-05-24T13:11:52Z</dcterms:created>
  <dcterms:modified xsi:type="dcterms:W3CDTF">2026-10-13T06:44:36Z</dcterms:modified>
</cp:coreProperties>
</file>